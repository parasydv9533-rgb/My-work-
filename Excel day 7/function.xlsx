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y data\My-work-\Excel day 7\"/>
    </mc:Choice>
  </mc:AlternateContent>
  <xr:revisionPtr revIDLastSave="0" documentId="13_ncr:1_{87BFA337-9AD8-41AA-AFC6-8EECEBFBCF7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function" sheetId="1" r:id="rId1"/>
  </sheets>
  <definedNames>
    <definedName name="city">function!$C$2:$C$11</definedName>
    <definedName name="data">function!$A$1:$G$11</definedName>
    <definedName name="data_base">function!$A$2:$G$12</definedName>
    <definedName name="department">function!$B$2:$B$11</definedName>
    <definedName name="employee">function!$A$2:$A$11</definedName>
    <definedName name="Experience">function!$F$2:$F$11</definedName>
    <definedName name="Marks">function!$G$2:$G$11</definedName>
    <definedName name="Salary">function!$E$2:$E$11</definedName>
    <definedName name="Sales">function!$D$2:$D$11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G49" i="1"/>
  <c r="G48" i="1"/>
  <c r="G47" i="1"/>
  <c r="G46" i="1"/>
  <c r="G45" i="1"/>
  <c r="G42" i="1"/>
  <c r="G41" i="1"/>
  <c r="G40" i="1"/>
  <c r="G39" i="1"/>
  <c r="G38" i="1"/>
  <c r="G35" i="1"/>
  <c r="G34" i="1"/>
  <c r="G33" i="1"/>
  <c r="G32" i="1"/>
  <c r="H47" i="1"/>
  <c r="H48" i="1"/>
  <c r="H45" i="1"/>
  <c r="H49" i="1"/>
  <c r="H46" i="1"/>
  <c r="H42" i="1"/>
  <c r="H41" i="1"/>
  <c r="H40" i="1"/>
  <c r="H39" i="1"/>
  <c r="H38" i="1"/>
  <c r="H32" i="1"/>
  <c r="H33" i="1"/>
  <c r="H34" i="1"/>
  <c r="H35" i="1"/>
  <c r="H31" i="1"/>
  <c r="G31" i="1"/>
  <c r="G27" i="1"/>
  <c r="G26" i="1"/>
  <c r="G25" i="1"/>
  <c r="G24" i="1"/>
  <c r="G23" i="1"/>
  <c r="G21" i="1"/>
  <c r="G20" i="1"/>
  <c r="G19" i="1"/>
  <c r="G18" i="1"/>
  <c r="G17" i="1"/>
  <c r="H26" i="1"/>
  <c r="H24" i="1"/>
  <c r="H23" i="1"/>
  <c r="H25" i="1"/>
  <c r="H27" i="1"/>
  <c r="H19" i="1"/>
  <c r="H18" i="1"/>
  <c r="H21" i="1"/>
  <c r="H20" i="1"/>
  <c r="H17" i="1"/>
</calcChain>
</file>

<file path=xl/sharedStrings.xml><?xml version="1.0" encoding="utf-8"?>
<sst xmlns="http://schemas.openxmlformats.org/spreadsheetml/2006/main" count="83" uniqueCount="57">
  <si>
    <t>Employee</t>
  </si>
  <si>
    <t>Department</t>
  </si>
  <si>
    <t>City</t>
  </si>
  <si>
    <t>Sales</t>
  </si>
  <si>
    <t>Salary</t>
  </si>
  <si>
    <t>Experience</t>
  </si>
  <si>
    <t>Marks</t>
  </si>
  <si>
    <t>Rahul</t>
  </si>
  <si>
    <t>Delhi</t>
  </si>
  <si>
    <t>Priya</t>
  </si>
  <si>
    <t>HR</t>
  </si>
  <si>
    <t>Gurgaon</t>
  </si>
  <si>
    <t>Aman</t>
  </si>
  <si>
    <t>IT</t>
  </si>
  <si>
    <t>Neha</t>
  </si>
  <si>
    <t>Jaipur</t>
  </si>
  <si>
    <t>Rohit</t>
  </si>
  <si>
    <t>Pooja</t>
  </si>
  <si>
    <t>Karan</t>
  </si>
  <si>
    <t>Simran</t>
  </si>
  <si>
    <t>Vikas</t>
  </si>
  <si>
    <t>Anjali</t>
  </si>
  <si>
    <t xml:space="preserve">question </t>
  </si>
  <si>
    <t>of</t>
  </si>
  <si>
    <t xml:space="preserve">Large </t>
  </si>
  <si>
    <t>function</t>
  </si>
  <si>
    <r>
      <t xml:space="preserve">Sales column me </t>
    </r>
    <r>
      <rPr>
        <b/>
        <sz val="11"/>
        <color theme="1"/>
        <rFont val="Calibri"/>
        <family val="2"/>
        <scheme val="minor"/>
      </rPr>
      <t>highest Sales</t>
    </r>
    <r>
      <rPr>
        <sz val="11"/>
        <color theme="1"/>
        <rFont val="Calibri"/>
        <family val="2"/>
        <scheme val="minor"/>
      </rPr>
      <t xml:space="preserve"> nikalo.</t>
    </r>
  </si>
  <si>
    <r>
      <t xml:space="preserve">Sales column me </t>
    </r>
    <r>
      <rPr>
        <b/>
        <sz val="11"/>
        <color theme="1"/>
        <rFont val="Calibri"/>
        <family val="2"/>
        <scheme val="minor"/>
      </rPr>
      <t>2nd highest Sales</t>
    </r>
    <r>
      <rPr>
        <sz val="11"/>
        <color theme="1"/>
        <rFont val="Calibri"/>
        <family val="2"/>
        <scheme val="minor"/>
      </rPr>
      <t xml:space="preserve"> nikalo.</t>
    </r>
  </si>
  <si>
    <r>
      <t xml:space="preserve">Sales column me </t>
    </r>
    <r>
      <rPr>
        <b/>
        <sz val="11"/>
        <color theme="1"/>
        <rFont val="Calibri"/>
        <family val="2"/>
        <scheme val="minor"/>
      </rPr>
      <t>3rd highest Sales</t>
    </r>
    <r>
      <rPr>
        <sz val="11"/>
        <color theme="1"/>
        <rFont val="Calibri"/>
        <family val="2"/>
        <scheme val="minor"/>
      </rPr>
      <t xml:space="preserve"> nikalo.</t>
    </r>
  </si>
  <si>
    <r>
      <t xml:space="preserve">Salary column me </t>
    </r>
    <r>
      <rPr>
        <b/>
        <sz val="11"/>
        <color theme="1"/>
        <rFont val="Calibri"/>
        <family val="2"/>
        <scheme val="minor"/>
      </rPr>
      <t>2nd highest Salary</t>
    </r>
    <r>
      <rPr>
        <sz val="11"/>
        <color theme="1"/>
        <rFont val="Calibri"/>
        <family val="2"/>
        <scheme val="minor"/>
      </rPr>
      <t xml:space="preserve"> nikalo.</t>
    </r>
  </si>
  <si>
    <r>
      <t xml:space="preserve">Marks column me </t>
    </r>
    <r>
      <rPr>
        <b/>
        <sz val="11"/>
        <color theme="1"/>
        <rFont val="Calibri"/>
        <family val="2"/>
        <scheme val="minor"/>
      </rPr>
      <t>3rd highest Marks</t>
    </r>
    <r>
      <rPr>
        <sz val="11"/>
        <color theme="1"/>
        <rFont val="Calibri"/>
        <family val="2"/>
        <scheme val="minor"/>
      </rPr>
      <t xml:space="preserve"> nikalo.</t>
    </r>
  </si>
  <si>
    <t>question</t>
  </si>
  <si>
    <t>Small</t>
  </si>
  <si>
    <r>
      <t xml:space="preserve">Sales column me </t>
    </r>
    <r>
      <rPr>
        <b/>
        <sz val="11"/>
        <color theme="1"/>
        <rFont val="Calibri"/>
        <family val="2"/>
        <scheme val="minor"/>
      </rPr>
      <t>lowest Sales</t>
    </r>
    <r>
      <rPr>
        <sz val="11"/>
        <color theme="1"/>
        <rFont val="Calibri"/>
        <family val="2"/>
        <scheme val="minor"/>
      </rPr>
      <t xml:space="preserve"> nikalo.</t>
    </r>
  </si>
  <si>
    <r>
      <t xml:space="preserve">Sales column me </t>
    </r>
    <r>
      <rPr>
        <b/>
        <sz val="11"/>
        <color theme="1"/>
        <rFont val="Calibri"/>
        <family val="2"/>
        <scheme val="minor"/>
      </rPr>
      <t>2nd lowest Sales</t>
    </r>
    <r>
      <rPr>
        <sz val="11"/>
        <color theme="1"/>
        <rFont val="Calibri"/>
        <family val="2"/>
        <scheme val="minor"/>
      </rPr>
      <t xml:space="preserve"> nikalo.</t>
    </r>
  </si>
  <si>
    <r>
      <t>.</t>
    </r>
    <r>
      <rPr>
        <sz val="11"/>
        <color theme="1"/>
        <rFont val="Calibri"/>
        <family val="2"/>
        <scheme val="minor"/>
      </rPr>
      <t xml:space="preserve"> Sales column me </t>
    </r>
    <r>
      <rPr>
        <b/>
        <sz val="11"/>
        <color theme="1"/>
        <rFont val="Calibri"/>
        <family val="2"/>
        <scheme val="minor"/>
      </rPr>
      <t>3rd lowest Sales</t>
    </r>
    <r>
      <rPr>
        <sz val="11"/>
        <color theme="1"/>
        <rFont val="Calibri"/>
        <family val="2"/>
        <scheme val="minor"/>
      </rPr>
      <t xml:space="preserve"> nikalo.</t>
    </r>
  </si>
  <si>
    <r>
      <t xml:space="preserve">Salary column me </t>
    </r>
    <r>
      <rPr>
        <b/>
        <sz val="11"/>
        <color theme="1"/>
        <rFont val="Calibri"/>
        <family val="2"/>
        <scheme val="minor"/>
      </rPr>
      <t>2nd lowest Salary</t>
    </r>
    <r>
      <rPr>
        <sz val="11"/>
        <color theme="1"/>
        <rFont val="Calibri"/>
        <family val="2"/>
        <scheme val="minor"/>
      </rPr>
      <t xml:space="preserve"> nikalo.</t>
    </r>
  </si>
  <si>
    <r>
      <t xml:space="preserve">Marks column me </t>
    </r>
    <r>
      <rPr>
        <b/>
        <sz val="11"/>
        <color theme="1"/>
        <rFont val="Calibri"/>
        <family val="2"/>
        <scheme val="minor"/>
      </rPr>
      <t>3rd lowest Marks</t>
    </r>
    <r>
      <rPr>
        <sz val="11"/>
        <color theme="1"/>
        <rFont val="Calibri"/>
        <family val="2"/>
        <scheme val="minor"/>
      </rPr>
      <t xml:space="preserve"> nikalo.</t>
    </r>
  </si>
  <si>
    <t>Rank</t>
  </si>
  <si>
    <r>
      <t>Q1.</t>
    </r>
    <r>
      <rPr>
        <sz val="11"/>
        <color theme="1"/>
        <rFont val="Calibri"/>
        <family val="2"/>
        <scheme val="minor"/>
      </rPr>
      <t xml:space="preserve"> Rohit ki Sales ki rank nikalo.</t>
    </r>
  </si>
  <si>
    <r>
      <t>Q2.</t>
    </r>
    <r>
      <rPr>
        <sz val="11"/>
        <color theme="1"/>
        <rFont val="Calibri"/>
        <family val="2"/>
        <scheme val="minor"/>
      </rPr>
      <t xml:space="preserve"> Karan ki Sales ki rank nikalo.</t>
    </r>
  </si>
  <si>
    <r>
      <t>Q3.</t>
    </r>
    <r>
      <rPr>
        <sz val="11"/>
        <color theme="1"/>
        <rFont val="Calibri"/>
        <family val="2"/>
        <scheme val="minor"/>
      </rPr>
      <t xml:space="preserve"> Aman ki Salary ki rank nikalo.</t>
    </r>
  </si>
  <si>
    <r>
      <t>Q4.</t>
    </r>
    <r>
      <rPr>
        <sz val="11"/>
        <color theme="1"/>
        <rFont val="Calibri"/>
        <family val="2"/>
        <scheme val="minor"/>
      </rPr>
      <t xml:space="preserve"> Priya ke Marks ki rank nikalo.</t>
    </r>
  </si>
  <si>
    <r>
      <t>Q5.</t>
    </r>
    <r>
      <rPr>
        <sz val="11"/>
        <color theme="1"/>
        <rFont val="Calibri"/>
        <family val="2"/>
        <scheme val="minor"/>
      </rPr>
      <t xml:space="preserve"> Neha ke Sales ki rank nikalo.</t>
    </r>
  </si>
  <si>
    <t>PERCENTILE</t>
  </si>
  <si>
    <r>
      <t>Q1.</t>
    </r>
    <r>
      <rPr>
        <sz val="11"/>
        <color theme="1"/>
        <rFont val="Calibri"/>
        <family val="2"/>
        <scheme val="minor"/>
      </rPr>
      <t xml:space="preserve"> Marks ka </t>
    </r>
    <r>
      <rPr>
        <b/>
        <sz val="11"/>
        <color theme="1"/>
        <rFont val="Calibri"/>
        <family val="2"/>
        <scheme val="minor"/>
      </rPr>
      <t>25th percentile</t>
    </r>
    <r>
      <rPr>
        <sz val="11"/>
        <color theme="1"/>
        <rFont val="Calibri"/>
        <family val="2"/>
        <scheme val="minor"/>
      </rPr>
      <t xml:space="preserve"> nikalo.</t>
    </r>
  </si>
  <si>
    <r>
      <t>Q2.</t>
    </r>
    <r>
      <rPr>
        <sz val="11"/>
        <color theme="1"/>
        <rFont val="Calibri"/>
        <family val="2"/>
        <scheme val="minor"/>
      </rPr>
      <t xml:space="preserve"> Marks ka </t>
    </r>
    <r>
      <rPr>
        <b/>
        <sz val="11"/>
        <color theme="1"/>
        <rFont val="Calibri"/>
        <family val="2"/>
        <scheme val="minor"/>
      </rPr>
      <t>50th percentile</t>
    </r>
    <r>
      <rPr>
        <sz val="11"/>
        <color theme="1"/>
        <rFont val="Calibri"/>
        <family val="2"/>
        <scheme val="minor"/>
      </rPr>
      <t xml:space="preserve"> nikalo.</t>
    </r>
  </si>
  <si>
    <r>
      <t>Q3.</t>
    </r>
    <r>
      <rPr>
        <sz val="11"/>
        <color theme="1"/>
        <rFont val="Calibri"/>
        <family val="2"/>
        <scheme val="minor"/>
      </rPr>
      <t xml:space="preserve"> Marks ka </t>
    </r>
    <r>
      <rPr>
        <b/>
        <sz val="11"/>
        <color theme="1"/>
        <rFont val="Calibri"/>
        <family val="2"/>
        <scheme val="minor"/>
      </rPr>
      <t>75th percentile</t>
    </r>
    <r>
      <rPr>
        <sz val="11"/>
        <color theme="1"/>
        <rFont val="Calibri"/>
        <family val="2"/>
        <scheme val="minor"/>
      </rPr>
      <t xml:space="preserve"> nikalo.</t>
    </r>
  </si>
  <si>
    <r>
      <t>Q4.</t>
    </r>
    <r>
      <rPr>
        <sz val="11"/>
        <color theme="1"/>
        <rFont val="Calibri"/>
        <family val="2"/>
        <scheme val="minor"/>
      </rPr>
      <t xml:space="preserve"> Salary ka </t>
    </r>
    <r>
      <rPr>
        <b/>
        <sz val="11"/>
        <color theme="1"/>
        <rFont val="Calibri"/>
        <family val="2"/>
        <scheme val="minor"/>
      </rPr>
      <t>50th percentile</t>
    </r>
    <r>
      <rPr>
        <sz val="11"/>
        <color theme="1"/>
        <rFont val="Calibri"/>
        <family val="2"/>
        <scheme val="minor"/>
      </rPr>
      <t xml:space="preserve"> nikalo.</t>
    </r>
  </si>
  <si>
    <r>
      <t>Q5.</t>
    </r>
    <r>
      <rPr>
        <sz val="11"/>
        <color theme="1"/>
        <rFont val="Calibri"/>
        <family val="2"/>
        <scheme val="minor"/>
      </rPr>
      <t xml:space="preserve"> Sales ka </t>
    </r>
    <r>
      <rPr>
        <b/>
        <sz val="11"/>
        <color theme="1"/>
        <rFont val="Calibri"/>
        <family val="2"/>
        <scheme val="minor"/>
      </rPr>
      <t>90th percentile</t>
    </r>
    <r>
      <rPr>
        <sz val="11"/>
        <color theme="1"/>
        <rFont val="Calibri"/>
        <family val="2"/>
        <scheme val="minor"/>
      </rPr>
      <t xml:space="preserve"> nikalo.</t>
    </r>
  </si>
  <si>
    <t>Quartile</t>
  </si>
  <si>
    <r>
      <t>Q1.</t>
    </r>
    <r>
      <rPr>
        <sz val="11"/>
        <color theme="1"/>
        <rFont val="Calibri"/>
        <family val="2"/>
        <scheme val="minor"/>
      </rPr>
      <t xml:space="preserve"> Marks ka </t>
    </r>
    <r>
      <rPr>
        <b/>
        <sz val="11"/>
        <color theme="1"/>
        <rFont val="Calibri"/>
        <family val="2"/>
        <scheme val="minor"/>
      </rPr>
      <t>Q1</t>
    </r>
    <r>
      <rPr>
        <sz val="11"/>
        <color theme="1"/>
        <rFont val="Calibri"/>
        <family val="2"/>
        <scheme val="minor"/>
      </rPr>
      <t xml:space="preserve"> nikalo.</t>
    </r>
  </si>
  <si>
    <r>
      <t>Q2.</t>
    </r>
    <r>
      <rPr>
        <sz val="11"/>
        <color theme="1"/>
        <rFont val="Calibri"/>
        <family val="2"/>
        <scheme val="minor"/>
      </rPr>
      <t xml:space="preserve"> Marks ka </t>
    </r>
    <r>
      <rPr>
        <b/>
        <sz val="11"/>
        <color theme="1"/>
        <rFont val="Calibri"/>
        <family val="2"/>
        <scheme val="minor"/>
      </rPr>
      <t>Q2</t>
    </r>
    <r>
      <rPr>
        <sz val="11"/>
        <color theme="1"/>
        <rFont val="Calibri"/>
        <family val="2"/>
        <scheme val="minor"/>
      </rPr>
      <t xml:space="preserve"> nikalo.</t>
    </r>
  </si>
  <si>
    <r>
      <t>Q3.</t>
    </r>
    <r>
      <rPr>
        <sz val="11"/>
        <color theme="1"/>
        <rFont val="Calibri"/>
        <family val="2"/>
        <scheme val="minor"/>
      </rPr>
      <t xml:space="preserve"> Marks ka </t>
    </r>
    <r>
      <rPr>
        <b/>
        <sz val="11"/>
        <color theme="1"/>
        <rFont val="Calibri"/>
        <family val="2"/>
        <scheme val="minor"/>
      </rPr>
      <t>Q3</t>
    </r>
    <r>
      <rPr>
        <sz val="11"/>
        <color theme="1"/>
        <rFont val="Calibri"/>
        <family val="2"/>
        <scheme val="minor"/>
      </rPr>
      <t xml:space="preserve"> nikalo.</t>
    </r>
  </si>
  <si>
    <r>
      <t>Q4.</t>
    </r>
    <r>
      <rPr>
        <sz val="11"/>
        <color theme="1"/>
        <rFont val="Calibri"/>
        <family val="2"/>
        <scheme val="minor"/>
      </rPr>
      <t xml:space="preserve"> Salary ka </t>
    </r>
    <r>
      <rPr>
        <b/>
        <sz val="11"/>
        <color theme="1"/>
        <rFont val="Calibri"/>
        <family val="2"/>
        <scheme val="minor"/>
      </rPr>
      <t>Q1</t>
    </r>
    <r>
      <rPr>
        <sz val="11"/>
        <color theme="1"/>
        <rFont val="Calibri"/>
        <family val="2"/>
        <scheme val="minor"/>
      </rPr>
      <t xml:space="preserve"> nikalo.</t>
    </r>
  </si>
  <si>
    <r>
      <t>Q5.</t>
    </r>
    <r>
      <rPr>
        <sz val="11"/>
        <color theme="1"/>
        <rFont val="Calibri"/>
        <family val="2"/>
        <scheme val="minor"/>
      </rPr>
      <t xml:space="preserve"> Sales ka </t>
    </r>
    <r>
      <rPr>
        <b/>
        <sz val="11"/>
        <color theme="1"/>
        <rFont val="Calibri"/>
        <family val="2"/>
        <scheme val="minor"/>
      </rPr>
      <t>Q3</t>
    </r>
    <r>
      <rPr>
        <sz val="11"/>
        <color theme="1"/>
        <rFont val="Calibri"/>
        <family val="2"/>
        <scheme val="minor"/>
      </rPr>
      <t xml:space="preserve"> nikalo.</t>
    </r>
  </si>
  <si>
    <t>sales ka Q4 nukalo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</si>
</sst>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B1" workbookViewId="0">
      <selection activeCell="G51" sqref="G51"/>
    </sheetView>
  </sheetViews>
  <sheetFormatPr defaultRowHeight="14.4" x14ac:dyDescent="0.3"/>
  <cols>
    <col min="3" max="3" width="18.109375" customWidth="1"/>
    <col min="6" max="6" width="38.77734375" customWidth="1"/>
    <col min="8" max="8" width="22.77734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4" t="s">
        <v>7</v>
      </c>
      <c r="B2" s="4" t="s">
        <v>3</v>
      </c>
      <c r="C2" s="4" t="s">
        <v>8</v>
      </c>
      <c r="D2" s="2">
        <v>45000</v>
      </c>
      <c r="E2" s="2">
        <v>35000</v>
      </c>
      <c r="F2" s="2">
        <v>2</v>
      </c>
      <c r="G2" s="2">
        <v>72</v>
      </c>
    </row>
    <row r="3" spans="1:7" x14ac:dyDescent="0.3">
      <c r="A3" s="4" t="s">
        <v>9</v>
      </c>
      <c r="B3" s="4" t="s">
        <v>10</v>
      </c>
      <c r="C3" s="4" t="s">
        <v>11</v>
      </c>
      <c r="D3" s="2">
        <v>62000</v>
      </c>
      <c r="E3" s="2">
        <v>42000</v>
      </c>
      <c r="F3" s="2">
        <v>4</v>
      </c>
      <c r="G3" s="2">
        <v>85</v>
      </c>
    </row>
    <row r="4" spans="1:7" x14ac:dyDescent="0.3">
      <c r="A4" s="4" t="s">
        <v>12</v>
      </c>
      <c r="B4" s="4" t="s">
        <v>13</v>
      </c>
      <c r="C4" s="4" t="s">
        <v>8</v>
      </c>
      <c r="D4" s="2">
        <v>78000</v>
      </c>
      <c r="E4" s="2">
        <v>55000</v>
      </c>
      <c r="F4" s="2">
        <v>6</v>
      </c>
      <c r="G4" s="2">
        <v>91</v>
      </c>
    </row>
    <row r="5" spans="1:7" x14ac:dyDescent="0.3">
      <c r="A5" s="4" t="s">
        <v>14</v>
      </c>
      <c r="B5" s="4" t="s">
        <v>3</v>
      </c>
      <c r="C5" s="4" t="s">
        <v>15</v>
      </c>
      <c r="D5" s="2">
        <v>54000</v>
      </c>
      <c r="E5" s="2">
        <v>38000</v>
      </c>
      <c r="F5" s="2">
        <v>3</v>
      </c>
      <c r="G5" s="2">
        <v>68</v>
      </c>
    </row>
    <row r="6" spans="1:7" x14ac:dyDescent="0.3">
      <c r="A6" s="4" t="s">
        <v>16</v>
      </c>
      <c r="B6" s="4" t="s">
        <v>13</v>
      </c>
      <c r="C6" s="4" t="s">
        <v>11</v>
      </c>
      <c r="D6" s="2">
        <v>91000</v>
      </c>
      <c r="E6" s="2">
        <v>65000</v>
      </c>
      <c r="F6" s="2">
        <v>8</v>
      </c>
      <c r="G6" s="2">
        <v>95</v>
      </c>
    </row>
    <row r="7" spans="1:7" x14ac:dyDescent="0.3">
      <c r="A7" s="4" t="s">
        <v>17</v>
      </c>
      <c r="B7" s="4" t="s">
        <v>10</v>
      </c>
      <c r="C7" s="4" t="s">
        <v>8</v>
      </c>
      <c r="D7" s="2">
        <v>47000</v>
      </c>
      <c r="E7" s="2">
        <v>40000</v>
      </c>
      <c r="F7" s="2">
        <v>5</v>
      </c>
      <c r="G7" s="2">
        <v>78</v>
      </c>
    </row>
    <row r="8" spans="1:7" x14ac:dyDescent="0.3">
      <c r="A8" s="4" t="s">
        <v>18</v>
      </c>
      <c r="B8" s="4" t="s">
        <v>13</v>
      </c>
      <c r="C8" s="4" t="s">
        <v>15</v>
      </c>
      <c r="D8" s="2">
        <v>85000</v>
      </c>
      <c r="E8" s="2">
        <v>58000</v>
      </c>
      <c r="F8" s="2">
        <v>7</v>
      </c>
      <c r="G8" s="2">
        <v>88</v>
      </c>
    </row>
    <row r="9" spans="1:7" x14ac:dyDescent="0.3">
      <c r="A9" s="4" t="s">
        <v>19</v>
      </c>
      <c r="B9" s="4" t="s">
        <v>3</v>
      </c>
      <c r="C9" s="4" t="s">
        <v>8</v>
      </c>
      <c r="D9" s="2">
        <v>73000</v>
      </c>
      <c r="E9" s="2">
        <v>45000</v>
      </c>
      <c r="F9" s="2">
        <v>4</v>
      </c>
      <c r="G9" s="2">
        <v>82</v>
      </c>
    </row>
    <row r="10" spans="1:7" x14ac:dyDescent="0.3">
      <c r="A10" s="4" t="s">
        <v>20</v>
      </c>
      <c r="B10" s="4" t="s">
        <v>10</v>
      </c>
      <c r="C10" s="4" t="s">
        <v>15</v>
      </c>
      <c r="D10" s="2">
        <v>39000</v>
      </c>
      <c r="E10" s="2">
        <v>36000</v>
      </c>
      <c r="F10" s="2">
        <v>2</v>
      </c>
      <c r="G10" s="2">
        <v>64</v>
      </c>
    </row>
    <row r="11" spans="1:7" x14ac:dyDescent="0.3">
      <c r="A11" s="4" t="s">
        <v>21</v>
      </c>
      <c r="B11" s="4" t="s">
        <v>13</v>
      </c>
      <c r="C11" s="4" t="s">
        <v>11</v>
      </c>
      <c r="D11" s="2">
        <v>66000</v>
      </c>
      <c r="E11" s="2">
        <v>52000</v>
      </c>
      <c r="F11" s="2">
        <v>5</v>
      </c>
      <c r="G11" s="2">
        <v>90</v>
      </c>
    </row>
    <row r="17" spans="1:8" x14ac:dyDescent="0.3">
      <c r="A17" t="s">
        <v>22</v>
      </c>
      <c r="B17" t="s">
        <v>23</v>
      </c>
      <c r="C17" t="s">
        <v>24</v>
      </c>
      <c r="D17" t="s">
        <v>25</v>
      </c>
      <c r="E17">
        <v>1</v>
      </c>
      <c r="F17" t="s">
        <v>26</v>
      </c>
      <c r="G17">
        <f>LARGE(Sales,1)</f>
        <v>91000</v>
      </c>
      <c r="H17" t="str">
        <f ca="1">_xlfn.FORMULATEXT(G17)</f>
        <v>=LARGE(Sales,1)</v>
      </c>
    </row>
    <row r="18" spans="1:8" x14ac:dyDescent="0.3">
      <c r="E18">
        <v>2</v>
      </c>
      <c r="F18" t="s">
        <v>27</v>
      </c>
      <c r="G18">
        <f>LARGE(Sales,2)</f>
        <v>85000</v>
      </c>
      <c r="H18" t="str">
        <f t="shared" ref="H18:H27" ca="1" si="0">_xlfn.FORMULATEXT(G18)</f>
        <v>=LARGE(Sales,2)</v>
      </c>
    </row>
    <row r="19" spans="1:8" x14ac:dyDescent="0.3">
      <c r="E19">
        <v>3</v>
      </c>
      <c r="F19" t="s">
        <v>28</v>
      </c>
      <c r="G19">
        <f>LARGE(Sales,3)</f>
        <v>78000</v>
      </c>
      <c r="H19" t="str">
        <f t="shared" ca="1" si="0"/>
        <v>=LARGE(Sales,3)</v>
      </c>
    </row>
    <row r="20" spans="1:8" x14ac:dyDescent="0.3">
      <c r="E20">
        <v>4</v>
      </c>
      <c r="F20" t="s">
        <v>29</v>
      </c>
      <c r="G20">
        <f>LARGE(Salary,2)</f>
        <v>58000</v>
      </c>
      <c r="H20" t="str">
        <f t="shared" ca="1" si="0"/>
        <v>=LARGE(Salary,2)</v>
      </c>
    </row>
    <row r="21" spans="1:8" x14ac:dyDescent="0.3">
      <c r="E21">
        <v>5</v>
      </c>
      <c r="F21" t="s">
        <v>30</v>
      </c>
      <c r="G21">
        <f>LARGE(Marks,3)</f>
        <v>90</v>
      </c>
      <c r="H21" t="str">
        <f t="shared" ca="1" si="0"/>
        <v>=LARGE(Marks,3)</v>
      </c>
    </row>
    <row r="23" spans="1:8" x14ac:dyDescent="0.3">
      <c r="A23" t="s">
        <v>31</v>
      </c>
      <c r="B23" t="s">
        <v>23</v>
      </c>
      <c r="C23" t="s">
        <v>32</v>
      </c>
      <c r="D23" t="s">
        <v>25</v>
      </c>
      <c r="E23">
        <v>1</v>
      </c>
      <c r="F23" t="s">
        <v>33</v>
      </c>
      <c r="G23">
        <f>SMALL(Sales,1)</f>
        <v>39000</v>
      </c>
      <c r="H23" t="str">
        <f t="shared" ca="1" si="0"/>
        <v>=SMALL(Sales,1)</v>
      </c>
    </row>
    <row r="24" spans="1:8" x14ac:dyDescent="0.3">
      <c r="F24" t="s">
        <v>34</v>
      </c>
      <c r="G24">
        <f>SMALL(Sales,2)</f>
        <v>45000</v>
      </c>
      <c r="H24" t="str">
        <f t="shared" ca="1" si="0"/>
        <v>=SMALL(Sales,2)</v>
      </c>
    </row>
    <row r="25" spans="1:8" x14ac:dyDescent="0.3">
      <c r="F25" s="5" t="s">
        <v>35</v>
      </c>
      <c r="G25">
        <f>SMALL(Sales,3)</f>
        <v>47000</v>
      </c>
      <c r="H25" t="str">
        <f t="shared" ca="1" si="0"/>
        <v>=SMALL(Sales,3)</v>
      </c>
    </row>
    <row r="26" spans="1:8" x14ac:dyDescent="0.3">
      <c r="F26" t="s">
        <v>36</v>
      </c>
      <c r="G26">
        <f>SMALL(Salary,2)</f>
        <v>36000</v>
      </c>
      <c r="H26" t="str">
        <f t="shared" ca="1" si="0"/>
        <v>=SMALL(Salary,2)</v>
      </c>
    </row>
    <row r="27" spans="1:8" x14ac:dyDescent="0.3">
      <c r="F27" t="s">
        <v>37</v>
      </c>
      <c r="G27">
        <f>SMALL(Marks,3)</f>
        <v>72</v>
      </c>
      <c r="H27" t="str">
        <f t="shared" ca="1" si="0"/>
        <v>=SMALL(Marks,3)</v>
      </c>
    </row>
    <row r="31" spans="1:8" x14ac:dyDescent="0.3">
      <c r="A31" t="s">
        <v>31</v>
      </c>
      <c r="B31" t="s">
        <v>23</v>
      </c>
      <c r="C31" t="s">
        <v>38</v>
      </c>
      <c r="D31" t="s">
        <v>25</v>
      </c>
      <c r="F31" s="5" t="s">
        <v>39</v>
      </c>
      <c r="G31">
        <f>RANK(D6,D2:D11,0)</f>
        <v>1</v>
      </c>
      <c r="H31" t="str">
        <f t="shared" ref="H31:H35" ca="1" si="1">_xlfn.FORMULATEXT(G31)</f>
        <v>=RANK(D6,D2:D11,0)</v>
      </c>
    </row>
    <row r="32" spans="1:8" x14ac:dyDescent="0.3">
      <c r="F32" s="5" t="s">
        <v>40</v>
      </c>
      <c r="G32">
        <f>RANK(D8,Sales,0)</f>
        <v>2</v>
      </c>
      <c r="H32" t="str">
        <f ca="1">_xlfn.FORMULATEXT(G32)</f>
        <v>=RANK(D8,Sales,0)</v>
      </c>
    </row>
    <row r="33" spans="1:8" x14ac:dyDescent="0.3">
      <c r="F33" s="5" t="s">
        <v>41</v>
      </c>
      <c r="G33">
        <f>RANK(E4,E2:E11,0)</f>
        <v>3</v>
      </c>
      <c r="H33" t="str">
        <f t="shared" ca="1" si="1"/>
        <v>=RANK(E4,E2:E11,0)</v>
      </c>
    </row>
    <row r="34" spans="1:8" x14ac:dyDescent="0.3">
      <c r="F34" s="5" t="s">
        <v>42</v>
      </c>
      <c r="G34">
        <f>RANK(G3,G2:G11,0)</f>
        <v>5</v>
      </c>
      <c r="H34" t="str">
        <f t="shared" ca="1" si="1"/>
        <v>=RANK(G3,G2:G11,0)</v>
      </c>
    </row>
    <row r="35" spans="1:8" x14ac:dyDescent="0.3">
      <c r="F35" s="5" t="s">
        <v>43</v>
      </c>
      <c r="G35">
        <f>RANK(D5,D2:D11,0)</f>
        <v>7</v>
      </c>
      <c r="H35" t="str">
        <f t="shared" ca="1" si="1"/>
        <v>=RANK(D5,D2:D11,0)</v>
      </c>
    </row>
    <row r="38" spans="1:8" x14ac:dyDescent="0.3">
      <c r="A38" t="s">
        <v>31</v>
      </c>
      <c r="B38" t="s">
        <v>23</v>
      </c>
      <c r="C38" t="s">
        <v>44</v>
      </c>
      <c r="D38" t="s">
        <v>25</v>
      </c>
      <c r="F38" s="5" t="s">
        <v>45</v>
      </c>
      <c r="G38">
        <f>PERCENTILE(Marks,0.25)</f>
        <v>73.5</v>
      </c>
      <c r="H38" t="str">
        <f t="shared" ref="H38:H42" ca="1" si="2">_xlfn.FORMULATEXT(G38)</f>
        <v>=PERCENTILE(Marks,0.25)</v>
      </c>
    </row>
    <row r="39" spans="1:8" x14ac:dyDescent="0.3">
      <c r="F39" s="5" t="s">
        <v>46</v>
      </c>
      <c r="G39">
        <f>PERCENTILE(Marks,0.5)</f>
        <v>83.5</v>
      </c>
      <c r="H39" t="str">
        <f t="shared" ca="1" si="2"/>
        <v>=PERCENTILE(Marks,0.5)</v>
      </c>
    </row>
    <row r="40" spans="1:8" x14ac:dyDescent="0.3">
      <c r="F40" s="5" t="s">
        <v>47</v>
      </c>
      <c r="G40">
        <f>PERCENTILE(Marks,0.75)</f>
        <v>89.5</v>
      </c>
      <c r="H40" t="str">
        <f t="shared" ca="1" si="2"/>
        <v>=PERCENTILE(Marks,0.75)</v>
      </c>
    </row>
    <row r="41" spans="1:8" x14ac:dyDescent="0.3">
      <c r="F41" s="5" t="s">
        <v>48</v>
      </c>
      <c r="G41">
        <f>PERCENTILE(Salary,0.5)</f>
        <v>43500</v>
      </c>
      <c r="H41" t="str">
        <f t="shared" ca="1" si="2"/>
        <v>=PERCENTILE(Salary,0.5)</v>
      </c>
    </row>
    <row r="42" spans="1:8" x14ac:dyDescent="0.3">
      <c r="F42" s="5" t="s">
        <v>49</v>
      </c>
      <c r="G42">
        <f>PERCENTILE(Sales,0.9)</f>
        <v>85600</v>
      </c>
      <c r="H42" t="str">
        <f t="shared" ca="1" si="2"/>
        <v>=PERCENTILE(Sales,0.9)</v>
      </c>
    </row>
    <row r="45" spans="1:8" x14ac:dyDescent="0.3">
      <c r="A45" t="s">
        <v>31</v>
      </c>
      <c r="B45" t="s">
        <v>23</v>
      </c>
      <c r="C45" t="s">
        <v>50</v>
      </c>
      <c r="D45" t="s">
        <v>25</v>
      </c>
      <c r="F45" s="5" t="s">
        <v>51</v>
      </c>
      <c r="G45">
        <f>QUARTILE(Marks,1)</f>
        <v>73.5</v>
      </c>
      <c r="H45" t="str">
        <f t="shared" ref="H45:H49" ca="1" si="3">_xlfn.FORMULATEXT(G45)</f>
        <v>=QUARTILE(Marks,1)</v>
      </c>
    </row>
    <row r="46" spans="1:8" x14ac:dyDescent="0.3">
      <c r="F46" s="5" t="s">
        <v>52</v>
      </c>
      <c r="G46">
        <f>QUARTILE(Marks,2)</f>
        <v>83.5</v>
      </c>
      <c r="H46" t="str">
        <f t="shared" ca="1" si="3"/>
        <v>=QUARTILE(Marks,2)</v>
      </c>
    </row>
    <row r="47" spans="1:8" x14ac:dyDescent="0.3">
      <c r="F47" s="5" t="s">
        <v>53</v>
      </c>
      <c r="G47">
        <f>QUARTILE(Marks,3)</f>
        <v>89.5</v>
      </c>
      <c r="H47" t="str">
        <f t="shared" ca="1" si="3"/>
        <v>=QUARTILE(Marks,3)</v>
      </c>
    </row>
    <row r="48" spans="1:8" x14ac:dyDescent="0.3">
      <c r="F48" s="5" t="s">
        <v>54</v>
      </c>
      <c r="G48">
        <f>QUARTILE(Salary,1)</f>
        <v>38500</v>
      </c>
      <c r="H48" t="str">
        <f t="shared" ca="1" si="3"/>
        <v>=QUARTILE(Salary,1)</v>
      </c>
    </row>
    <row r="49" spans="6:8" x14ac:dyDescent="0.3">
      <c r="F49" s="5" t="s">
        <v>55</v>
      </c>
      <c r="G49">
        <f>QUARTILE(Sales,3)</f>
        <v>76750</v>
      </c>
      <c r="H49" t="str">
        <f t="shared" ca="1" si="3"/>
        <v>=QUARTILE(Sales,3)</v>
      </c>
    </row>
    <row r="50" spans="6:8" x14ac:dyDescent="0.3">
      <c r="F50" s="5" t="s">
        <v>56</v>
      </c>
      <c r="G50">
        <f>QUARTILE(Sales,)</f>
        <v>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function</vt:lpstr>
      <vt:lpstr>city</vt:lpstr>
      <vt:lpstr>data</vt:lpstr>
      <vt:lpstr>data_base</vt:lpstr>
      <vt:lpstr>department</vt:lpstr>
      <vt:lpstr>employee</vt:lpstr>
      <vt:lpstr>Experience</vt:lpstr>
      <vt:lpstr>Marks</vt:lpstr>
      <vt:lpstr>Salary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2015-06-05T18:17:20Z</dcterms:created>
  <dcterms:modified xsi:type="dcterms:W3CDTF">2026-08-08T17:14:38Z</dcterms:modified>
</cp:coreProperties>
</file>