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my data\My-work-\Excel day 7\"/>
    </mc:Choice>
  </mc:AlternateContent>
  <xr:revisionPtr revIDLastSave="0" documentId="13_ncr:1_{4160CD76-108B-49E4-888F-30115C78DB97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<sst xmlns="http://schemas.openxmlformats.org/spreadsheetml/2006/main" count="478" uniqueCount="231">
  <si>
    <t>Pesko Club Card Vouchers</t>
  </si>
  <si>
    <t>Date</t>
  </si>
  <si>
    <t>Amount</t>
  </si>
  <si>
    <t>Club card Vouchers Earned</t>
  </si>
  <si>
    <t>Voucher Threshold</t>
  </si>
  <si>
    <t>High Vouchers</t>
  </si>
  <si>
    <t>£4 = 1 voucher whole vouchers only</t>
  </si>
  <si>
    <t>Low Vouchers</t>
  </si>
  <si>
    <t>£10 = 1 voucher whole vouchers only</t>
  </si>
  <si>
    <t>Accountancy Part 1 Exam Results</t>
  </si>
  <si>
    <t>Candidate ID</t>
  </si>
  <si>
    <t>Area</t>
  </si>
  <si>
    <t>Gender</t>
  </si>
  <si>
    <t>Age</t>
  </si>
  <si>
    <t>Result</t>
  </si>
  <si>
    <t>North</t>
  </si>
  <si>
    <t>M</t>
  </si>
  <si>
    <t>South-East</t>
  </si>
  <si>
    <t>Midlands</t>
  </si>
  <si>
    <t>F</t>
  </si>
  <si>
    <t>South-West</t>
  </si>
  <si>
    <t>Scotland</t>
  </si>
  <si>
    <t>Conditional formats in cols</t>
  </si>
  <si>
    <t>Cand nos &lt; 300000</t>
  </si>
  <si>
    <t>Southern candidates</t>
  </si>
  <si>
    <t>Female Candidates</t>
  </si>
  <si>
    <t>Mature cand &gt; 40 and data bars</t>
  </si>
  <si>
    <t>Top 5%</t>
  </si>
  <si>
    <t>Pesko Part-time Workers Weekly Pay</t>
  </si>
  <si>
    <t>Staff ID</t>
  </si>
  <si>
    <t>Surname</t>
  </si>
  <si>
    <t>Initial</t>
  </si>
  <si>
    <t>Hours Worked</t>
  </si>
  <si>
    <t>Pay</t>
  </si>
  <si>
    <t>Nat Ins</t>
  </si>
  <si>
    <t>Tax</t>
  </si>
  <si>
    <t>Pension</t>
  </si>
  <si>
    <t>Final Pay</t>
  </si>
  <si>
    <t>Hourly Pay Rate</t>
  </si>
  <si>
    <t>M/141</t>
  </si>
  <si>
    <t>Abbot</t>
  </si>
  <si>
    <t>R</t>
  </si>
  <si>
    <t>Nat Ins Rate</t>
  </si>
  <si>
    <t>M/289</t>
  </si>
  <si>
    <t>Arlington</t>
  </si>
  <si>
    <t>T</t>
  </si>
  <si>
    <t>Tax Rate</t>
  </si>
  <si>
    <t>F/112</t>
  </si>
  <si>
    <t>Brown</t>
  </si>
  <si>
    <t>H</t>
  </si>
  <si>
    <t>Pension Cont</t>
  </si>
  <si>
    <t>F/219</t>
  </si>
  <si>
    <t>Davies</t>
  </si>
  <si>
    <t>F/881</t>
  </si>
  <si>
    <t>Davis</t>
  </si>
  <si>
    <t>G</t>
  </si>
  <si>
    <t>M/448</t>
  </si>
  <si>
    <t>W</t>
  </si>
  <si>
    <t>F/66</t>
  </si>
  <si>
    <t>Fox</t>
  </si>
  <si>
    <t>S</t>
  </si>
  <si>
    <t>M/557</t>
  </si>
  <si>
    <t>Kelsey</t>
  </si>
  <si>
    <t>A</t>
  </si>
  <si>
    <t>M/44</t>
  </si>
  <si>
    <t>Marsh</t>
  </si>
  <si>
    <t>M/191</t>
  </si>
  <si>
    <t>Oliver</t>
  </si>
  <si>
    <t xml:space="preserve">M </t>
  </si>
  <si>
    <t>M/352</t>
  </si>
  <si>
    <t>Potts</t>
  </si>
  <si>
    <t>B</t>
  </si>
  <si>
    <t>F/336</t>
  </si>
  <si>
    <t>Taylor</t>
  </si>
  <si>
    <t>TOTAL</t>
  </si>
  <si>
    <t>Cond formats in cols:</t>
  </si>
  <si>
    <t>Females</t>
  </si>
  <si>
    <t>Contain letter "l"</t>
  </si>
  <si>
    <t>&gt;=18</t>
  </si>
  <si>
    <t>Top 10%</t>
  </si>
  <si>
    <t>&gt;average</t>
  </si>
  <si>
    <t>data bars</t>
  </si>
  <si>
    <t>Mixed</t>
  </si>
  <si>
    <t>icom set</t>
  </si>
  <si>
    <t>Roller Coaster</t>
  </si>
  <si>
    <t>Amusement Park</t>
  </si>
  <si>
    <t>Type</t>
  </si>
  <si>
    <t>Design</t>
  </si>
  <si>
    <t>Status</t>
  </si>
  <si>
    <t>Opened</t>
  </si>
  <si>
    <t>Speed ( mph )</t>
  </si>
  <si>
    <t>Rage</t>
  </si>
  <si>
    <t>Adventure Island</t>
  </si>
  <si>
    <t>Steel</t>
  </si>
  <si>
    <t>Sit Down</t>
  </si>
  <si>
    <t>Operating</t>
  </si>
  <si>
    <t>Air</t>
  </si>
  <si>
    <t>Alton Towers</t>
  </si>
  <si>
    <t>Flying</t>
  </si>
  <si>
    <t>Nemesis</t>
  </si>
  <si>
    <t>Inverted</t>
  </si>
  <si>
    <t>Oblivion</t>
  </si>
  <si>
    <t>Rita - Queen of Speed</t>
  </si>
  <si>
    <t>Corkscrew</t>
  </si>
  <si>
    <t>Magic Mouse</t>
  </si>
  <si>
    <t>Brean Leisure Park</t>
  </si>
  <si>
    <t>Crazy Mouse</t>
  </si>
  <si>
    <t>Brighton Pier</t>
  </si>
  <si>
    <t>Knightmare</t>
  </si>
  <si>
    <t>Camelot Theme Park</t>
  </si>
  <si>
    <t>Whirlwind</t>
  </si>
  <si>
    <t>Rattlesnake</t>
  </si>
  <si>
    <t>Chessington World of Adventures</t>
  </si>
  <si>
    <t>Vampire</t>
  </si>
  <si>
    <t>Suspended</t>
  </si>
  <si>
    <t>G Force</t>
  </si>
  <si>
    <t>Drayton Manor Park</t>
  </si>
  <si>
    <t>Shockwave</t>
  </si>
  <si>
    <t>Stand Up</t>
  </si>
  <si>
    <t>Jubilee Odyssey</t>
  </si>
  <si>
    <t>Fantasy Island</t>
  </si>
  <si>
    <t>Millennium Roller Coaster</t>
  </si>
  <si>
    <t>Fantasy Mouse</t>
  </si>
  <si>
    <t>Kumali</t>
  </si>
  <si>
    <t>Flamingo Land Theme Park &amp; Zoo</t>
  </si>
  <si>
    <t>Velocity</t>
  </si>
  <si>
    <t>Wild Mouse</t>
  </si>
  <si>
    <t>Great Yarmouth Pleasure Beach</t>
  </si>
  <si>
    <t>Wood</t>
  </si>
  <si>
    <t>Jungle Coaster</t>
  </si>
  <si>
    <t>Legoland Windsor</t>
  </si>
  <si>
    <t>Ultimate</t>
  </si>
  <si>
    <t>Lightwater Valley</t>
  </si>
  <si>
    <t>Twister</t>
  </si>
  <si>
    <t>Twist and Shout</t>
  </si>
  <si>
    <t>Loudoun Castle</t>
  </si>
  <si>
    <t>Rat</t>
  </si>
  <si>
    <t>Tsunami</t>
  </si>
  <si>
    <t>M&amp;Ds Scotland's Theme Park</t>
  </si>
  <si>
    <t>Tornado</t>
  </si>
  <si>
    <t>Express</t>
  </si>
  <si>
    <t>New Roller Coaster</t>
  </si>
  <si>
    <t>New MetroLand</t>
  </si>
  <si>
    <t>Speed: No Limits</t>
  </si>
  <si>
    <t>Oakwood Theme Park</t>
  </si>
  <si>
    <t>Megafobia</t>
  </si>
  <si>
    <t>Cobra</t>
  </si>
  <si>
    <t>Paultons Park</t>
  </si>
  <si>
    <t>Infusion</t>
  </si>
  <si>
    <t>Pleasure Beach, Blackpool</t>
  </si>
  <si>
    <t>Pepsi Max Big One</t>
  </si>
  <si>
    <t>Irn-Bru Revolution</t>
  </si>
  <si>
    <t>Grand National</t>
  </si>
  <si>
    <t>Boomerang</t>
  </si>
  <si>
    <t>Pleasure Island Family Theme Park</t>
  </si>
  <si>
    <t>Wipeout</t>
  </si>
  <si>
    <t>Pleasurewood Hills</t>
  </si>
  <si>
    <t>Enigma</t>
  </si>
  <si>
    <t>South Pier</t>
  </si>
  <si>
    <t>Nemesis Inferno</t>
  </si>
  <si>
    <t>Thorpe Park</t>
  </si>
  <si>
    <t>Stealth</t>
  </si>
  <si>
    <t>Colossus</t>
  </si>
  <si>
    <t>X:\ No Way Out</t>
  </si>
  <si>
    <t>Wall's Twister Ride</t>
  </si>
  <si>
    <t>West Midlands Safari Park</t>
  </si>
  <si>
    <t>Rhino Coaster</t>
  </si>
  <si>
    <t>Wicksteed Park</t>
  </si>
  <si>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</si>
  <si>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</si>
  <si>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</si>
  <si>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</si>
  <si>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</si>
  <si>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</si>
  <si>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</si>
  <si>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</si>
  <si>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</si>
  <si>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</si>
  <si>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</si>
  <si>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Aviemore</t>
  </si>
  <si>
    <t>TH119UK</t>
  </si>
  <si>
    <t>Czechoslovakia</t>
  </si>
  <si>
    <t>Prague</t>
  </si>
  <si>
    <t>I970CZ</t>
  </si>
  <si>
    <t>Greece</t>
  </si>
  <si>
    <t>Skiathos</t>
  </si>
  <si>
    <t>Plane</t>
  </si>
  <si>
    <t>A178GR</t>
  </si>
  <si>
    <t>Spain</t>
  </si>
  <si>
    <t>Barcelona</t>
  </si>
  <si>
    <t>Train</t>
  </si>
  <si>
    <t>I6675SP</t>
  </si>
  <si>
    <t>Switzerland</t>
  </si>
  <si>
    <t>Lake Geneva</t>
  </si>
  <si>
    <t>TH990SW</t>
  </si>
  <si>
    <t>Ireland</t>
  </si>
  <si>
    <t>Cork</t>
  </si>
  <si>
    <t>A565I</t>
  </si>
  <si>
    <t>America</t>
  </si>
  <si>
    <t>Los Angeles</t>
  </si>
  <si>
    <t>A777US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</si>
  <si>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</si>
  <si>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</si>
  <si>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</si>
  <si>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</si>
  <si>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</si>
  <si>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</si>
  <si>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</si>
  <si>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</si>
  <si>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</si>
  <si>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</si>
  <si>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Grand Canyon</t>
  </si>
  <si>
    <t>UJ221US</t>
  </si>
  <si>
    <t>A990ESP</t>
  </si>
  <si>
    <t>UJ777US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</si>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</sst>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£&quot;#,##0.00"/>
    <numFmt numFmtId="169" formatCode="0.0%"/>
    <numFmt numFmtId="170" formatCode="&quot;£&quot;#,##0;[Red]\-&quot;£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 wrapText="1"/>
    </xf>
    <xf numFmtId="168" fontId="0" fillId="0" borderId="1" xfId="0" applyNumberFormat="1" applyBorder="1"/>
    <xf numFmtId="0" fontId="2" fillId="2" borderId="1" xfId="0" applyFont="1" applyFill="1" applyBorder="1" applyAlignment="1">
      <alignment vertical="center"/>
    </xf>
    <xf numFmtId="168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16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9" fontId="0" fillId="0" borderId="1" xfId="1" applyNumberFormat="1" applyFont="1" applyBorder="1" applyAlignment="1">
      <alignment horizontal="righ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0" fillId="0" borderId="1" xfId="0" applyBorder="1"/>
    <xf numFmtId="0" fontId="0" fillId="5" borderId="1" xfId="0" applyFill="1" applyBorder="1"/>
    <xf numFmtId="9" fontId="0" fillId="5" borderId="1" xfId="0" applyNumberFormat="1" applyFill="1" applyBorder="1"/>
    <xf numFmtId="0" fontId="0" fillId="0" borderId="1" xfId="0" applyBorder="1" applyAlignment="1">
      <alignment horizontal="center"/>
    </xf>
    <xf numFmtId="0" fontId="2" fillId="6" borderId="1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169" fontId="0" fillId="5" borderId="1" xfId="0" applyNumberFormat="1" applyFill="1" applyBorder="1"/>
    <xf numFmtId="168" fontId="0" fillId="0" borderId="1" xfId="0" applyNumberFormat="1" applyBorder="1"/>
    <xf numFmtId="168" fontId="0" fillId="0" borderId="2" xfId="0" applyNumberFormat="1" applyBorder="1"/>
    <xf numFmtId="168" fontId="2" fillId="6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11" fillId="0" borderId="0" xfId="2" applyFont="1" applyAlignment="1">
      <alignment horizontal="centerContinuous"/>
    </xf>
    <xf numFmtId="0" fontId="12" fillId="0" borderId="0" xfId="2" applyFont="1" applyAlignment="1">
      <alignment horizontal="centerContinuous"/>
    </xf>
    <xf numFmtId="0" fontId="10" fillId="0" borderId="0" xfId="2"/>
    <xf numFmtId="0" fontId="13" fillId="7" borderId="1" xfId="2" applyFont="1" applyFill="1" applyBorder="1" applyAlignment="1">
      <alignment horizontal="center"/>
    </xf>
    <xf numFmtId="0" fontId="13" fillId="0" borderId="0" xfId="2" applyFont="1" applyAlignment="1">
      <alignment horizontal="center"/>
    </xf>
    <xf numFmtId="0" fontId="10" fillId="0" borderId="1" xfId="2" applyBorder="1" applyAlignment="1">
      <alignment horizontal="center"/>
    </xf>
    <xf numFmtId="0" fontId="10" fillId="0" borderId="0" xfId="2" applyAlignment="1">
      <alignment horizontal="center"/>
    </xf>
    <xf numFmtId="170" fontId="10" fillId="0" borderId="1" xfId="2" applyNumberFormat="1" applyBorder="1" applyAlignment="1">
      <alignment horizontal="center"/>
    </xf>
  </cellXfs>
  <cellStyles count="3">
    <cellStyle name="Normal" xfId="0" builtinId="0"/>
    <cellStyle name="Normal_Sheet1" xfId="2" xr:uid="{B034BAC9-BAA7-4AE7-97F8-4273EEAD104A}"/>
    <cellStyle name="Percent" xfId="1" builtinId="5"/>
  </cellStyles>
  <dxfs count="1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rush Script MT"/>
        <family val="4"/>
        <scheme val="none"/>
      </font>
      <alignment horizontal="centerContinuous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33CC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ill>
        <patternFill>
          <bgColor rgb="FFFF33CC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33CC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33CC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AE750-672D-4CE1-800B-116F9C1D3D9F}" name="Table1" displayName="Table1" ref="A1:G51" totalsRowShown="0" headerRowDxfId="9">
  <autoFilter ref="A1:G51" xr:uid="{254AE750-672D-4CE1-800B-116F9C1D3D9F}">
    <filterColumn colId="0">
      <filters>
        <filter val="Air"/>
        <filter val="Boomerang"/>
      </filters>
    </filterColumn>
  </autoFilter>
  <tableColumns count="7">
    <tableColumn id="1" xr3:uid="{342FE3BB-5959-44A6-902B-0BCF3E6BA28B}" name="Roller Coaster"/>
    <tableColumn id="2" xr3:uid="{7BB8407C-3DBF-4895-82A5-E3E40F1F94DD}" name="Amusement Park"/>
    <tableColumn id="3" xr3:uid="{F5982782-7744-42AD-8F3F-6C436D984C9D}" name="Type"/>
    <tableColumn id="4" xr3:uid="{B97D54B1-385C-4BD2-9A62-E4E9B0044477}" name="Design"/>
    <tableColumn id="5" xr3:uid="{36B82EA3-1761-4AEE-9E5F-17858B5DB555}" name="Status"/>
    <tableColumn id="6" xr3:uid="{996938B7-2636-4973-B3D5-63168C975548}" name="Opened"/>
    <tableColumn id="7" xr3:uid="{E76BAAB2-99E1-46BA-8223-7944706804C8}" name="Speed ( mph 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B149E-851E-41F2-AD95-F496EDA537BE}" name="Table2" displayName="Table2" ref="A1:G24" totalsRowShown="0" headerRowDxfId="0" dataDxfId="1" headerRowCellStyle="Normal_Sheet1" dataCellStyle="Normal_Sheet1">
  <autoFilter ref="A1:G24" xr:uid="{078B149E-851E-41F2-AD95-F496EDA537BE}">
    <filterColumn colId="0">
      <filters>
        <filter val="Spain"/>
      </filters>
    </filterColumn>
    <filterColumn colId="4">
      <filters>
        <filter val="Plane"/>
      </filters>
    </filterColumn>
    <filterColumn colId="5">
      <filters>
        <filter val="£234"/>
        <filter val="£255"/>
      </filters>
    </filterColumn>
  </autoFilter>
  <tableColumns count="7">
    <tableColumn id="1" xr3:uid="{0B3062B4-6D5A-449E-BC56-6CA9864715D2}" name="Wise Owl Travel Agents" dataDxfId="8" dataCellStyle="Normal_Sheet1"/>
    <tableColumn id="2" xr3:uid="{E8BF7941-B56D-4F72-A03B-8616F884B12F}" name="Column1" dataDxfId="7" dataCellStyle="Normal_Sheet1"/>
    <tableColumn id="3" xr3:uid="{27FBF5B0-C711-44C0-A045-DAC41446664A}" name="Column2" dataDxfId="6" dataCellStyle="Normal_Sheet1"/>
    <tableColumn id="4" xr3:uid="{EC2F957A-15A1-41B3-83B3-645D23307CFD}" name="Column3" dataDxfId="5" dataCellStyle="Normal_Sheet1"/>
    <tableColumn id="5" xr3:uid="{F078B4FA-D4B7-41C2-88C1-2C73961F05FF}" name="Column4" dataDxfId="4" dataCellStyle="Normal_Sheet1"/>
    <tableColumn id="6" xr3:uid="{27412785-B3D6-4DD3-8F31-8DAA087F38A1}" name="Column5" dataDxfId="3" dataCellStyle="Normal_Sheet1"/>
    <tableColumn id="7" xr3:uid="{22B49348-CE0E-4C69-8CFC-901BEE1094E4}" name="Column6" dataDxfId="2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opLeftCell="A3" workbookViewId="0">
      <selection activeCell="B20" sqref="B20"/>
    </sheetView>
  </sheetViews>
  <sheetFormatPr defaultRowHeight="14.4" x14ac:dyDescent="0.3"/>
  <cols>
    <col min="1" max="1" width="21.21875" customWidth="1"/>
    <col min="3" max="3" width="32.33203125" customWidth="1"/>
  </cols>
  <sheetData>
    <row r="1" spans="1:3" ht="21" x14ac:dyDescent="0.4">
      <c r="A1" s="2" t="s">
        <v>0</v>
      </c>
      <c r="B1" s="1"/>
      <c r="C1" s="1"/>
    </row>
    <row r="3" spans="1:3" ht="43.2" x14ac:dyDescent="0.3">
      <c r="A3" s="9" t="s">
        <v>1</v>
      </c>
      <c r="B3" s="4" t="s">
        <v>2</v>
      </c>
      <c r="C3" s="5" t="s">
        <v>3</v>
      </c>
    </row>
    <row r="4" spans="1:3" x14ac:dyDescent="0.3">
      <c r="A4" s="10">
        <v>43115</v>
      </c>
      <c r="B4" s="6">
        <v>112.66</v>
      </c>
      <c r="C4" s="3">
        <f>IF(B4&gt;B17,INT(B4*B18),INT(B4*B19))</f>
        <v>22</v>
      </c>
    </row>
    <row r="5" spans="1:3" x14ac:dyDescent="0.3">
      <c r="A5" s="10">
        <v>43121</v>
      </c>
      <c r="B5" s="6">
        <v>17.54</v>
      </c>
      <c r="C5" s="3">
        <f>IF(B5&gt;B17,INT(B5*B18),INT(B5*B19))</f>
        <v>0</v>
      </c>
    </row>
    <row r="6" spans="1:3" x14ac:dyDescent="0.3">
      <c r="A6" s="10">
        <v>43163</v>
      </c>
      <c r="B6" s="6">
        <v>96.87</v>
      </c>
      <c r="C6" s="3">
        <f>IF(B6&gt;B17,INT(B6*B18),INT(B6*B19))</f>
        <v>19</v>
      </c>
    </row>
    <row r="7" spans="1:3" x14ac:dyDescent="0.3">
      <c r="A7" s="10">
        <v>43231</v>
      </c>
      <c r="B7" s="6">
        <v>32.78</v>
      </c>
      <c r="C7" s="3">
        <f>IF(B7&gt;B17,INT(B7*B18),INT(B7*B19))</f>
        <v>0</v>
      </c>
    </row>
    <row r="8" spans="1:3" x14ac:dyDescent="0.3">
      <c r="A8" s="10">
        <v>43249</v>
      </c>
      <c r="B8" s="6">
        <v>56.38</v>
      </c>
      <c r="C8" s="3">
        <f>IF(B8&gt;B17,INT(B8*B18),INT(B8*B19))</f>
        <v>0</v>
      </c>
    </row>
    <row r="9" spans="1:3" x14ac:dyDescent="0.3">
      <c r="A9" s="10">
        <v>43271</v>
      </c>
      <c r="B9" s="6">
        <v>62.94</v>
      </c>
      <c r="C9" s="3">
        <f>IF(B9&gt;B17,INT(B9*B18),INT(B9*B19))</f>
        <v>0</v>
      </c>
    </row>
    <row r="10" spans="1:3" x14ac:dyDescent="0.3">
      <c r="A10" s="10">
        <v>43314</v>
      </c>
      <c r="B10" s="6">
        <v>74.89</v>
      </c>
      <c r="C10" s="3">
        <f>IF(B10&gt;B17,INT(B10*B18),INT(B10*B19))</f>
        <v>0</v>
      </c>
    </row>
    <row r="11" spans="1:3" x14ac:dyDescent="0.3">
      <c r="A11" s="10">
        <v>43330</v>
      </c>
      <c r="B11" s="6">
        <v>13.45</v>
      </c>
      <c r="C11" s="3">
        <f>IF(B11&gt;B17,INT(B11*B18),INT(B11*B19))</f>
        <v>0</v>
      </c>
    </row>
    <row r="12" spans="1:3" x14ac:dyDescent="0.3">
      <c r="A12" s="10">
        <v>43350</v>
      </c>
      <c r="B12" s="6">
        <v>73.63</v>
      </c>
      <c r="C12" s="3">
        <f>IF(B12&gt;B17,INT(B12*B18),INT(B12*B19))</f>
        <v>0</v>
      </c>
    </row>
    <row r="13" spans="1:3" x14ac:dyDescent="0.3">
      <c r="A13" s="10">
        <v>43376</v>
      </c>
      <c r="B13" s="6">
        <v>93.86</v>
      </c>
      <c r="C13" s="3">
        <f>IF(B13&gt;B17,INT(B13*B18),INT(B13*B19))</f>
        <v>0</v>
      </c>
    </row>
    <row r="14" spans="1:3" x14ac:dyDescent="0.3">
      <c r="A14" s="10">
        <v>43402</v>
      </c>
      <c r="B14" s="6">
        <v>52.11</v>
      </c>
      <c r="C14" s="3">
        <f>IF(B14&gt;B17,INT(B14*B18),INT(B14*B19))</f>
        <v>0</v>
      </c>
    </row>
    <row r="15" spans="1:3" x14ac:dyDescent="0.3">
      <c r="A15" s="10">
        <v>43442</v>
      </c>
      <c r="B15" s="6">
        <v>143.66999999999999</v>
      </c>
      <c r="C15" s="3">
        <f>IF(B15&gt;B17,INT(B15*B18),INT(B15*B19))</f>
        <v>28</v>
      </c>
    </row>
    <row r="17" spans="1:3" x14ac:dyDescent="0.3">
      <c r="A17" s="1" t="s">
        <v>4</v>
      </c>
      <c r="B17" s="8">
        <v>95</v>
      </c>
      <c r="C17" s="1"/>
    </row>
    <row r="18" spans="1:3" ht="51" x14ac:dyDescent="0.3">
      <c r="A18" s="1" t="s">
        <v>5</v>
      </c>
      <c r="B18" s="7">
        <v>0.2</v>
      </c>
      <c r="C18" s="11" t="s">
        <v>6</v>
      </c>
    </row>
    <row r="19" spans="1:3" ht="51" x14ac:dyDescent="0.3">
      <c r="A19" s="1" t="s">
        <v>7</v>
      </c>
      <c r="B19" s="7">
        <v>0</v>
      </c>
      <c r="C19" s="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A446-FF97-4E18-87FC-192850E8A95C}">
  <dimension ref="A1:F28"/>
  <sheetViews>
    <sheetView topLeftCell="A8" workbookViewId="0">
      <selection activeCell="G14" sqref="G14"/>
    </sheetView>
  </sheetViews>
  <sheetFormatPr defaultRowHeight="14.4" x14ac:dyDescent="0.3"/>
  <sheetData>
    <row r="1" spans="2:6" ht="18" x14ac:dyDescent="0.35">
      <c r="B1" s="19" t="s">
        <v>9</v>
      </c>
      <c r="C1" s="12"/>
      <c r="D1" s="12"/>
      <c r="E1" s="12"/>
      <c r="F1" s="12"/>
    </row>
    <row r="3" spans="2:6" x14ac:dyDescent="0.3">
      <c r="B3" s="17" t="s">
        <v>10</v>
      </c>
      <c r="C3" s="16" t="s">
        <v>11</v>
      </c>
      <c r="D3" s="17" t="s">
        <v>12</v>
      </c>
      <c r="E3" s="17" t="s">
        <v>13</v>
      </c>
      <c r="F3" s="18" t="s">
        <v>14</v>
      </c>
    </row>
    <row r="4" spans="2:6" x14ac:dyDescent="0.3">
      <c r="B4" s="14">
        <v>980748</v>
      </c>
      <c r="C4" s="13" t="s">
        <v>15</v>
      </c>
      <c r="D4" s="14" t="s">
        <v>16</v>
      </c>
      <c r="E4" s="14">
        <v>24</v>
      </c>
      <c r="F4" s="15">
        <v>0.87</v>
      </c>
    </row>
    <row r="5" spans="2:6" x14ac:dyDescent="0.3">
      <c r="B5" s="14">
        <v>379829</v>
      </c>
      <c r="C5" s="13" t="s">
        <v>17</v>
      </c>
      <c r="D5" s="14" t="s">
        <v>16</v>
      </c>
      <c r="E5" s="14">
        <v>32</v>
      </c>
      <c r="F5" s="15">
        <v>0.55000000000000004</v>
      </c>
    </row>
    <row r="6" spans="2:6" x14ac:dyDescent="0.3">
      <c r="B6" s="14">
        <v>838293</v>
      </c>
      <c r="C6" s="13" t="s">
        <v>18</v>
      </c>
      <c r="D6" s="14" t="s">
        <v>16</v>
      </c>
      <c r="E6" s="14">
        <v>35</v>
      </c>
      <c r="F6" s="15">
        <v>0.98</v>
      </c>
    </row>
    <row r="7" spans="2:6" x14ac:dyDescent="0.3">
      <c r="B7" s="14">
        <v>384953</v>
      </c>
      <c r="C7" s="13" t="s">
        <v>18</v>
      </c>
      <c r="D7" s="14" t="s">
        <v>19</v>
      </c>
      <c r="E7" s="14">
        <v>27</v>
      </c>
      <c r="F7" s="15">
        <v>0.93</v>
      </c>
    </row>
    <row r="8" spans="2:6" x14ac:dyDescent="0.3">
      <c r="B8" s="14">
        <v>234242</v>
      </c>
      <c r="C8" s="13" t="s">
        <v>15</v>
      </c>
      <c r="D8" s="14" t="s">
        <v>19</v>
      </c>
      <c r="E8" s="14">
        <v>33</v>
      </c>
      <c r="F8" s="15">
        <v>0.78</v>
      </c>
    </row>
    <row r="9" spans="2:6" x14ac:dyDescent="0.3">
      <c r="B9" s="14">
        <v>234625</v>
      </c>
      <c r="C9" s="13" t="s">
        <v>20</v>
      </c>
      <c r="D9" s="14" t="s">
        <v>16</v>
      </c>
      <c r="E9" s="14">
        <v>28</v>
      </c>
      <c r="F9" s="15">
        <v>0.77</v>
      </c>
    </row>
    <row r="10" spans="2:6" x14ac:dyDescent="0.3">
      <c r="B10" s="14">
        <v>546175</v>
      </c>
      <c r="C10" s="13" t="s">
        <v>17</v>
      </c>
      <c r="D10" s="14" t="s">
        <v>19</v>
      </c>
      <c r="E10" s="14">
        <v>35</v>
      </c>
      <c r="F10" s="15">
        <v>0.73</v>
      </c>
    </row>
    <row r="11" spans="2:6" x14ac:dyDescent="0.3">
      <c r="B11" s="14">
        <v>185675</v>
      </c>
      <c r="C11" s="13" t="s">
        <v>21</v>
      </c>
      <c r="D11" s="14" t="s">
        <v>19</v>
      </c>
      <c r="E11" s="14">
        <v>35</v>
      </c>
      <c r="F11" s="15">
        <v>0.55000000000000004</v>
      </c>
    </row>
    <row r="12" spans="2:6" x14ac:dyDescent="0.3">
      <c r="B12" s="14">
        <v>456546</v>
      </c>
      <c r="C12" s="13" t="s">
        <v>15</v>
      </c>
      <c r="D12" s="14" t="s">
        <v>16</v>
      </c>
      <c r="E12" s="14">
        <v>42</v>
      </c>
      <c r="F12" s="15">
        <v>0.73</v>
      </c>
    </row>
    <row r="13" spans="2:6" x14ac:dyDescent="0.3">
      <c r="B13" s="14">
        <v>465464</v>
      </c>
      <c r="C13" s="13" t="s">
        <v>17</v>
      </c>
      <c r="D13" s="14" t="s">
        <v>16</v>
      </c>
      <c r="E13" s="14">
        <v>27</v>
      </c>
      <c r="F13" s="15">
        <v>0.69</v>
      </c>
    </row>
    <row r="14" spans="2:6" x14ac:dyDescent="0.3">
      <c r="B14" s="14">
        <v>745644</v>
      </c>
      <c r="C14" s="13" t="s">
        <v>17</v>
      </c>
      <c r="D14" s="14" t="s">
        <v>19</v>
      </c>
      <c r="E14" s="14">
        <v>26</v>
      </c>
      <c r="F14" s="15">
        <v>0.38</v>
      </c>
    </row>
    <row r="15" spans="2:6" x14ac:dyDescent="0.3">
      <c r="B15" s="14">
        <v>641645</v>
      </c>
      <c r="C15" s="13" t="s">
        <v>21</v>
      </c>
      <c r="D15" s="14" t="s">
        <v>19</v>
      </c>
      <c r="E15" s="14">
        <v>29</v>
      </c>
      <c r="F15" s="15">
        <v>0.97</v>
      </c>
    </row>
    <row r="16" spans="2:6" x14ac:dyDescent="0.3">
      <c r="B16" s="14">
        <v>727654</v>
      </c>
      <c r="C16" s="13" t="s">
        <v>18</v>
      </c>
      <c r="D16" s="14" t="s">
        <v>19</v>
      </c>
      <c r="E16" s="14">
        <v>33</v>
      </c>
      <c r="F16" s="15">
        <v>0.89</v>
      </c>
    </row>
    <row r="17" spans="1:6" x14ac:dyDescent="0.3">
      <c r="A17" s="12"/>
      <c r="B17" s="14">
        <v>345634</v>
      </c>
      <c r="C17" s="13" t="s">
        <v>15</v>
      </c>
      <c r="D17" s="14" t="s">
        <v>19</v>
      </c>
      <c r="E17" s="14">
        <v>30</v>
      </c>
      <c r="F17" s="15">
        <v>0.77</v>
      </c>
    </row>
    <row r="18" spans="1:6" x14ac:dyDescent="0.3">
      <c r="A18" s="12"/>
      <c r="B18" s="14">
        <v>457465</v>
      </c>
      <c r="C18" s="13" t="s">
        <v>15</v>
      </c>
      <c r="D18" s="14" t="s">
        <v>16</v>
      </c>
      <c r="E18" s="14">
        <v>45</v>
      </c>
      <c r="F18" s="15">
        <v>0.57999999999999996</v>
      </c>
    </row>
    <row r="19" spans="1:6" x14ac:dyDescent="0.3">
      <c r="A19" s="12"/>
      <c r="B19" s="14">
        <v>115465</v>
      </c>
      <c r="C19" s="13" t="s">
        <v>20</v>
      </c>
      <c r="D19" s="14" t="s">
        <v>16</v>
      </c>
      <c r="E19" s="14">
        <v>31</v>
      </c>
      <c r="F19" s="15">
        <v>0.61</v>
      </c>
    </row>
    <row r="20" spans="1:6" x14ac:dyDescent="0.3">
      <c r="A20" s="12"/>
      <c r="B20" s="14">
        <v>345464</v>
      </c>
      <c r="C20" s="13" t="s">
        <v>17</v>
      </c>
      <c r="D20" s="14" t="s">
        <v>19</v>
      </c>
      <c r="E20" s="14">
        <v>30</v>
      </c>
      <c r="F20" s="15">
        <v>0.67</v>
      </c>
    </row>
    <row r="21" spans="1:6" x14ac:dyDescent="0.3">
      <c r="A21" s="12"/>
      <c r="B21" s="14">
        <v>896667</v>
      </c>
      <c r="C21" s="13" t="s">
        <v>17</v>
      </c>
      <c r="D21" s="14" t="s">
        <v>19</v>
      </c>
      <c r="E21" s="14">
        <v>27</v>
      </c>
      <c r="F21" s="15">
        <v>0.57999999999999996</v>
      </c>
    </row>
    <row r="22" spans="1:6" x14ac:dyDescent="0.3">
      <c r="A22" s="12"/>
      <c r="B22" s="14">
        <v>654745</v>
      </c>
      <c r="C22" s="13" t="s">
        <v>21</v>
      </c>
      <c r="D22" s="14" t="s">
        <v>16</v>
      </c>
      <c r="E22" s="14">
        <v>27</v>
      </c>
      <c r="F22" s="15">
        <v>0.99</v>
      </c>
    </row>
    <row r="23" spans="1:6" x14ac:dyDescent="0.3">
      <c r="A23" s="12"/>
      <c r="B23" s="14">
        <v>568545</v>
      </c>
      <c r="C23" s="13" t="s">
        <v>18</v>
      </c>
      <c r="D23" s="14" t="s">
        <v>16</v>
      </c>
      <c r="E23" s="14">
        <v>29</v>
      </c>
      <c r="F23" s="15">
        <v>0.92</v>
      </c>
    </row>
    <row r="24" spans="1:6" x14ac:dyDescent="0.3">
      <c r="A24" s="12"/>
      <c r="B24" s="14">
        <v>667563</v>
      </c>
      <c r="C24" s="13" t="s">
        <v>18</v>
      </c>
      <c r="D24" s="14" t="s">
        <v>19</v>
      </c>
      <c r="E24" s="14">
        <v>31</v>
      </c>
      <c r="F24" s="15">
        <v>0.48</v>
      </c>
    </row>
    <row r="25" spans="1:6" x14ac:dyDescent="0.3">
      <c r="A25" s="12"/>
      <c r="B25" s="14">
        <v>346366</v>
      </c>
      <c r="C25" s="13" t="s">
        <v>21</v>
      </c>
      <c r="D25" s="14" t="s">
        <v>19</v>
      </c>
      <c r="E25" s="14">
        <v>33</v>
      </c>
      <c r="F25" s="15">
        <v>0.53</v>
      </c>
    </row>
    <row r="26" spans="1:6" x14ac:dyDescent="0.3">
      <c r="A26" s="12"/>
      <c r="B26" s="14">
        <v>643456</v>
      </c>
      <c r="C26" s="13" t="s">
        <v>20</v>
      </c>
      <c r="D26" s="14" t="s">
        <v>19</v>
      </c>
      <c r="E26" s="14">
        <v>42</v>
      </c>
      <c r="F26" s="15">
        <v>0.86</v>
      </c>
    </row>
    <row r="28" spans="1:6" ht="30.6" x14ac:dyDescent="0.3">
      <c r="A28" s="20" t="s">
        <v>22</v>
      </c>
      <c r="B28" s="21" t="s">
        <v>23</v>
      </c>
      <c r="C28" s="21" t="s">
        <v>24</v>
      </c>
      <c r="D28" s="21" t="s">
        <v>25</v>
      </c>
      <c r="E28" s="21" t="s">
        <v>26</v>
      </c>
      <c r="F28" s="21" t="s">
        <v>27</v>
      </c>
    </row>
  </sheetData>
  <conditionalFormatting sqref="B4:B26">
    <cfRule type="cellIs" dxfId="136" priority="9" operator="lessThan">
      <formula>30000</formula>
    </cfRule>
    <cfRule type="cellIs" dxfId="135" priority="8" operator="lessThan">
      <formula>300000</formula>
    </cfRule>
  </conditionalFormatting>
  <conditionalFormatting sqref="C4:C26">
    <cfRule type="expression" dxfId="132" priority="5">
      <formula>LEFT(C4,5)="South"</formula>
    </cfRule>
  </conditionalFormatting>
  <conditionalFormatting sqref="D4:D26">
    <cfRule type="cellIs" dxfId="131" priority="4" operator="equal">
      <formula>"F"</formula>
    </cfRule>
  </conditionalFormatting>
  <conditionalFormatting sqref="E4:E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{929A65A0-649D-4488-B7A8-6400EE6405D8}</x14:id>
        </ext>
      </extLst>
    </cfRule>
    <cfRule type="cellIs" dxfId="130" priority="2" operator="greaterThan">
      <formula>40</formula>
    </cfRule>
  </conditionalFormatting>
  <conditionalFormatting sqref="F4:F26">
    <cfRule type="top10" dxfId="122" priority="1" percent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AD9145AB-BD78-43BF-B02C-3FE656954383}">
            <xm:f>NOT(ISERROR(SEARCH(south-east+south-west,C4)))</xm:f>
            <xm:f>south-east+south-west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" operator="containsText" id="{DAC6D0DB-5E32-4E3B-9954-9A5FAB8C6A22}">
            <xm:f>NOT(ISERROR(SEARCH(LEFT(C4,5)="South",C4)))</xm:f>
            <xm:f>LEFT(C4,5)="South"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C4:C26</xm:sqref>
        </x14:conditionalFormatting>
        <x14:conditionalFormatting xmlns:xm="http://schemas.microsoft.com/office/excel/2006/main">
          <x14:cfRule type="dataBar" id="{929A65A0-649D-4488-B7A8-6400EE6405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9DB6-7D07-4307-8489-2B956EF9D4AD}">
  <dimension ref="A1:M18"/>
  <sheetViews>
    <sheetView workbookViewId="0">
      <selection activeCell="I22" sqref="I22"/>
    </sheetView>
  </sheetViews>
  <sheetFormatPr defaultRowHeight="14.4" x14ac:dyDescent="0.3"/>
  <sheetData>
    <row r="1" spans="2:13" ht="21" x14ac:dyDescent="0.4">
      <c r="B1" s="23" t="s">
        <v>28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2:13" x14ac:dyDescent="0.3">
      <c r="B3" s="29" t="s">
        <v>29</v>
      </c>
      <c r="C3" s="29" t="s">
        <v>30</v>
      </c>
      <c r="D3" s="30" t="s">
        <v>31</v>
      </c>
      <c r="E3" s="31" t="s">
        <v>32</v>
      </c>
      <c r="F3" s="31" t="s">
        <v>33</v>
      </c>
      <c r="G3" s="31" t="s">
        <v>34</v>
      </c>
      <c r="H3" s="31" t="s">
        <v>35</v>
      </c>
      <c r="I3" s="31" t="s">
        <v>36</v>
      </c>
      <c r="J3" s="31" t="s">
        <v>37</v>
      </c>
      <c r="K3" s="22"/>
      <c r="L3" s="22" t="s">
        <v>38</v>
      </c>
      <c r="M3" s="25">
        <v>9.8699999999999992</v>
      </c>
    </row>
    <row r="4" spans="2:13" x14ac:dyDescent="0.3">
      <c r="B4" s="24" t="s">
        <v>39</v>
      </c>
      <c r="C4" s="24" t="s">
        <v>40</v>
      </c>
      <c r="D4" s="27" t="s">
        <v>41</v>
      </c>
      <c r="E4" s="24">
        <v>16</v>
      </c>
      <c r="F4" s="33">
        <v>157.91999999999999</v>
      </c>
      <c r="G4" s="33">
        <v>9.9489599999999996</v>
      </c>
      <c r="H4" s="34">
        <v>31.584</v>
      </c>
      <c r="I4" s="33">
        <v>6.0009599999999992</v>
      </c>
      <c r="J4" s="33">
        <v>110.38607999999999</v>
      </c>
      <c r="K4" s="22"/>
      <c r="L4" s="22" t="s">
        <v>42</v>
      </c>
      <c r="M4" s="26">
        <v>6.3E-2</v>
      </c>
    </row>
    <row r="5" spans="2:13" x14ac:dyDescent="0.3">
      <c r="B5" s="24" t="s">
        <v>43</v>
      </c>
      <c r="C5" s="24" t="s">
        <v>44</v>
      </c>
      <c r="D5" s="27" t="s">
        <v>45</v>
      </c>
      <c r="E5" s="24">
        <v>18</v>
      </c>
      <c r="F5" s="33">
        <v>177.66</v>
      </c>
      <c r="G5" s="33">
        <v>11.19258</v>
      </c>
      <c r="H5" s="33">
        <v>35.532000000000004</v>
      </c>
      <c r="I5" s="33">
        <v>6.75108</v>
      </c>
      <c r="J5" s="33">
        <v>124.18433999999999</v>
      </c>
      <c r="K5" s="22"/>
      <c r="L5" s="22" t="s">
        <v>46</v>
      </c>
      <c r="M5" s="26">
        <v>0.2</v>
      </c>
    </row>
    <row r="6" spans="2:13" x14ac:dyDescent="0.3">
      <c r="B6" s="24" t="s">
        <v>47</v>
      </c>
      <c r="C6" s="24" t="s">
        <v>48</v>
      </c>
      <c r="D6" s="27" t="s">
        <v>49</v>
      </c>
      <c r="E6" s="24">
        <v>23</v>
      </c>
      <c r="F6" s="33">
        <v>227.01</v>
      </c>
      <c r="G6" s="33">
        <v>14.301629999999999</v>
      </c>
      <c r="H6" s="33">
        <v>45.402000000000001</v>
      </c>
      <c r="I6" s="33">
        <v>8.6263799999999993</v>
      </c>
      <c r="J6" s="33">
        <v>158.67998999999998</v>
      </c>
      <c r="K6" s="22"/>
      <c r="L6" s="22" t="s">
        <v>50</v>
      </c>
      <c r="M6" s="32">
        <v>3.7999999999999999E-2</v>
      </c>
    </row>
    <row r="7" spans="2:13" x14ac:dyDescent="0.3">
      <c r="B7" s="24" t="s">
        <v>51</v>
      </c>
      <c r="C7" s="24" t="s">
        <v>52</v>
      </c>
      <c r="D7" s="27" t="s">
        <v>19</v>
      </c>
      <c r="E7" s="24">
        <v>19</v>
      </c>
      <c r="F7" s="33">
        <v>187.52999999999997</v>
      </c>
      <c r="G7" s="33">
        <v>11.814389999999998</v>
      </c>
      <c r="H7" s="33">
        <v>37.505999999999993</v>
      </c>
      <c r="I7" s="33">
        <v>7.1261399999999986</v>
      </c>
      <c r="J7" s="33">
        <v>131.08346999999998</v>
      </c>
      <c r="K7" s="22"/>
      <c r="L7" s="22"/>
      <c r="M7" s="22"/>
    </row>
    <row r="8" spans="2:13" x14ac:dyDescent="0.3">
      <c r="B8" s="24" t="s">
        <v>53</v>
      </c>
      <c r="C8" s="24" t="s">
        <v>54</v>
      </c>
      <c r="D8" s="27" t="s">
        <v>55</v>
      </c>
      <c r="E8" s="24">
        <v>18</v>
      </c>
      <c r="F8" s="33">
        <v>177.66</v>
      </c>
      <c r="G8" s="33">
        <v>11.19258</v>
      </c>
      <c r="H8" s="33">
        <v>35.532000000000004</v>
      </c>
      <c r="I8" s="33">
        <v>6.75108</v>
      </c>
      <c r="J8" s="33">
        <v>124.18433999999999</v>
      </c>
      <c r="K8" s="22"/>
      <c r="L8" s="22"/>
      <c r="M8" s="22"/>
    </row>
    <row r="9" spans="2:13" x14ac:dyDescent="0.3">
      <c r="B9" s="24" t="s">
        <v>56</v>
      </c>
      <c r="C9" s="24" t="s">
        <v>54</v>
      </c>
      <c r="D9" s="27" t="s">
        <v>57</v>
      </c>
      <c r="E9" s="24">
        <v>18</v>
      </c>
      <c r="F9" s="33">
        <v>177.66</v>
      </c>
      <c r="G9" s="33">
        <v>11.19258</v>
      </c>
      <c r="H9" s="33">
        <v>35.532000000000004</v>
      </c>
      <c r="I9" s="33">
        <v>6.75108</v>
      </c>
      <c r="J9" s="33">
        <v>124.18433999999999</v>
      </c>
      <c r="K9" s="22"/>
      <c r="L9" s="22"/>
      <c r="M9" s="22"/>
    </row>
    <row r="10" spans="2:13" x14ac:dyDescent="0.3">
      <c r="B10" s="24" t="s">
        <v>58</v>
      </c>
      <c r="C10" s="24" t="s">
        <v>59</v>
      </c>
      <c r="D10" s="27" t="s">
        <v>60</v>
      </c>
      <c r="E10" s="24">
        <v>12</v>
      </c>
      <c r="F10" s="33">
        <v>118.44</v>
      </c>
      <c r="G10" s="33">
        <v>7.4617199999999997</v>
      </c>
      <c r="H10" s="33">
        <v>23.688000000000002</v>
      </c>
      <c r="I10" s="33">
        <v>4.5007199999999994</v>
      </c>
      <c r="J10" s="33">
        <v>82.789559999999994</v>
      </c>
      <c r="K10" s="22"/>
      <c r="L10" s="22"/>
      <c r="M10" s="22"/>
    </row>
    <row r="11" spans="2:13" x14ac:dyDescent="0.3">
      <c r="B11" s="24" t="s">
        <v>61</v>
      </c>
      <c r="C11" s="24" t="s">
        <v>62</v>
      </c>
      <c r="D11" s="27" t="s">
        <v>63</v>
      </c>
      <c r="E11" s="24">
        <v>16</v>
      </c>
      <c r="F11" s="33">
        <v>157.91999999999999</v>
      </c>
      <c r="G11" s="33">
        <v>9.9489599999999996</v>
      </c>
      <c r="H11" s="33">
        <v>31.584</v>
      </c>
      <c r="I11" s="33">
        <v>6.0009599999999992</v>
      </c>
      <c r="J11" s="33">
        <v>110.38607999999999</v>
      </c>
      <c r="K11" s="22"/>
      <c r="L11" s="22"/>
      <c r="M11" s="22"/>
    </row>
    <row r="12" spans="2:13" x14ac:dyDescent="0.3">
      <c r="B12" s="24" t="s">
        <v>64</v>
      </c>
      <c r="C12" s="24" t="s">
        <v>65</v>
      </c>
      <c r="D12" s="27" t="s">
        <v>49</v>
      </c>
      <c r="E12" s="24">
        <v>16</v>
      </c>
      <c r="F12" s="33">
        <v>157.91999999999999</v>
      </c>
      <c r="G12" s="33">
        <v>9.9489599999999996</v>
      </c>
      <c r="H12" s="33">
        <v>31.584</v>
      </c>
      <c r="I12" s="33">
        <v>6.0009599999999992</v>
      </c>
      <c r="J12" s="33">
        <v>110.38607999999999</v>
      </c>
      <c r="K12" s="22"/>
      <c r="L12" s="22"/>
      <c r="M12" s="22"/>
    </row>
    <row r="13" spans="2:13" x14ac:dyDescent="0.3">
      <c r="B13" s="24" t="s">
        <v>66</v>
      </c>
      <c r="C13" s="24" t="s">
        <v>67</v>
      </c>
      <c r="D13" s="27" t="s">
        <v>68</v>
      </c>
      <c r="E13" s="24">
        <v>18</v>
      </c>
      <c r="F13" s="33">
        <v>177.66</v>
      </c>
      <c r="G13" s="33">
        <v>11.19258</v>
      </c>
      <c r="H13" s="33">
        <v>35.532000000000004</v>
      </c>
      <c r="I13" s="33">
        <v>6.75108</v>
      </c>
      <c r="J13" s="33">
        <v>124.18433999999999</v>
      </c>
      <c r="K13" s="22"/>
      <c r="L13" s="22"/>
      <c r="M13" s="22"/>
    </row>
    <row r="14" spans="2:13" x14ac:dyDescent="0.3">
      <c r="B14" s="24" t="s">
        <v>69</v>
      </c>
      <c r="C14" s="24" t="s">
        <v>70</v>
      </c>
      <c r="D14" s="27" t="s">
        <v>71</v>
      </c>
      <c r="E14" s="24">
        <v>22</v>
      </c>
      <c r="F14" s="33">
        <v>217.14</v>
      </c>
      <c r="G14" s="33">
        <v>13.679819999999999</v>
      </c>
      <c r="H14" s="33">
        <v>43.427999999999997</v>
      </c>
      <c r="I14" s="33">
        <v>8.2513199999999998</v>
      </c>
      <c r="J14" s="33">
        <v>151.78085999999999</v>
      </c>
      <c r="K14" s="22"/>
      <c r="L14" s="22"/>
      <c r="M14" s="22"/>
    </row>
    <row r="15" spans="2:13" x14ac:dyDescent="0.3">
      <c r="B15" s="24" t="s">
        <v>72</v>
      </c>
      <c r="C15" s="24" t="s">
        <v>73</v>
      </c>
      <c r="D15" s="27" t="s">
        <v>49</v>
      </c>
      <c r="E15" s="24">
        <v>12</v>
      </c>
      <c r="F15" s="33">
        <v>118.44</v>
      </c>
      <c r="G15" s="33">
        <v>7.4617199999999997</v>
      </c>
      <c r="H15" s="33">
        <v>23.688000000000002</v>
      </c>
      <c r="I15" s="33">
        <v>4.5007199999999994</v>
      </c>
      <c r="J15" s="33">
        <v>82.789559999999994</v>
      </c>
      <c r="K15" s="22"/>
      <c r="L15" s="22"/>
      <c r="M15" s="22"/>
    </row>
    <row r="16" spans="2:13" x14ac:dyDescent="0.3">
      <c r="B16" s="28" t="s">
        <v>74</v>
      </c>
      <c r="C16" s="36"/>
      <c r="D16" s="37"/>
      <c r="E16" s="28">
        <v>208</v>
      </c>
      <c r="F16" s="35">
        <v>2052.96</v>
      </c>
      <c r="G16" s="35">
        <v>129.33647999999999</v>
      </c>
      <c r="H16" s="35">
        <v>410.59199999999998</v>
      </c>
      <c r="I16" s="35">
        <v>78.012479999999996</v>
      </c>
      <c r="J16" s="35">
        <v>1435.0190399999999</v>
      </c>
      <c r="K16" s="22"/>
      <c r="L16" s="22"/>
      <c r="M16" s="22"/>
    </row>
    <row r="17" spans="1:10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ht="36" x14ac:dyDescent="0.3">
      <c r="A18" s="39" t="s">
        <v>75</v>
      </c>
      <c r="B18" s="38" t="s">
        <v>76</v>
      </c>
      <c r="C18" s="38" t="s">
        <v>77</v>
      </c>
      <c r="D18" s="38" t="s">
        <v>49</v>
      </c>
      <c r="E18" s="38" t="s">
        <v>78</v>
      </c>
      <c r="F18" s="38" t="s">
        <v>79</v>
      </c>
      <c r="G18" s="38" t="s">
        <v>80</v>
      </c>
      <c r="H18" s="38" t="s">
        <v>81</v>
      </c>
      <c r="I18" s="38" t="s">
        <v>82</v>
      </c>
      <c r="J18" s="38" t="s">
        <v>83</v>
      </c>
    </row>
  </sheetData>
  <conditionalFormatting sqref="B4:B15">
    <cfRule type="containsText" dxfId="33" priority="15" operator="containsText" text="f">
      <formula>NOT(ISERROR(SEARCH("f",B4)))</formula>
    </cfRule>
  </conditionalFormatting>
  <conditionalFormatting sqref="C4:C15">
    <cfRule type="containsText" dxfId="32" priority="14" operator="containsText" text="i">
      <formula>NOT(ISERROR(SEARCH("i",C4)))</formula>
    </cfRule>
  </conditionalFormatting>
  <conditionalFormatting sqref="D4:D15">
    <cfRule type="containsText" dxfId="31" priority="13" operator="containsText" text="h">
      <formula>NOT(ISERROR(SEARCH("h",D4)))</formula>
    </cfRule>
  </conditionalFormatting>
  <conditionalFormatting sqref="E4:E15">
    <cfRule type="cellIs" dxfId="30" priority="12" operator="greaterThan">
      <formula>18</formula>
    </cfRule>
    <cfRule type="cellIs" dxfId="29" priority="11" operator="greaterThan">
      <formula>17.5</formula>
    </cfRule>
  </conditionalFormatting>
  <conditionalFormatting sqref="F4:F15">
    <cfRule type="cellIs" dxfId="28" priority="10" operator="greaterThan">
      <formula>250</formula>
    </cfRule>
    <cfRule type="top10" dxfId="27" priority="8" percent="1" rank="1"/>
  </conditionalFormatting>
  <conditionalFormatting sqref="F6">
    <cfRule type="cellIs" dxfId="26" priority="9" operator="equal">
      <formula>"£227.01"</formula>
    </cfRule>
  </conditionalFormatting>
  <conditionalFormatting sqref="G4:G15">
    <cfRule type="top10" dxfId="25" priority="7" percent="1" rank="10"/>
    <cfRule type="cellIs" dxfId="24" priority="6" operator="greaterThan">
      <formula>"£10.88"</formula>
    </cfRule>
    <cfRule type="aboveAverage" dxfId="23" priority="5"/>
  </conditionalFormatting>
  <conditionalFormatting sqref="H4:H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{D3D95D65-9E66-4BCB-9844-4CD35017721C}</x14:id>
        </ext>
      </extLst>
    </cfRule>
  </conditionalFormatting>
  <conditionalFormatting sqref="I4:I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{6DD19A61-53EA-4209-BA13-236D87BD6C47}</x14:id>
        </ext>
      </extLst>
    </cfRule>
    <cfRule type="cellIs" dxfId="22" priority="2" operator="lessThan">
      <formula>6.5</formula>
    </cfRule>
  </conditionalFormatting>
  <conditionalFormatting sqref="J4:J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95D65-9E66-4BCB-9844-4CD3501772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6DD19A61-53EA-4209-BA13-236D87BD6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AEF2-D1F1-4C1D-997A-07F723CC1EED}">
  <dimension ref="A1:G51"/>
  <sheetViews>
    <sheetView workbookViewId="0">
      <selection sqref="A1:G51"/>
    </sheetView>
  </sheetViews>
  <sheetFormatPr defaultRowHeight="14.4" x14ac:dyDescent="0.3"/>
  <cols>
    <col min="1" max="1" width="24.88671875" customWidth="1"/>
    <col min="2" max="2" width="29.109375" customWidth="1"/>
    <col min="6" max="6" width="9.5546875" customWidth="1"/>
    <col min="7" max="7" width="14.6640625" customWidth="1"/>
  </cols>
  <sheetData>
    <row r="1" spans="1:7" x14ac:dyDescent="0.3">
      <c r="A1" s="41" t="s">
        <v>84</v>
      </c>
      <c r="B1" s="41" t="s">
        <v>85</v>
      </c>
      <c r="C1" s="41" t="s">
        <v>86</v>
      </c>
      <c r="D1" s="41" t="s">
        <v>87</v>
      </c>
      <c r="E1" s="41" t="s">
        <v>88</v>
      </c>
      <c r="F1" s="41" t="s">
        <v>89</v>
      </c>
      <c r="G1" s="41" t="s">
        <v>90</v>
      </c>
    </row>
    <row r="2" spans="1:7" hidden="1" x14ac:dyDescent="0.3">
      <c r="A2" s="40" t="s">
        <v>91</v>
      </c>
      <c r="B2" s="40" t="s">
        <v>92</v>
      </c>
      <c r="C2" s="40" t="s">
        <v>93</v>
      </c>
      <c r="D2" s="40" t="s">
        <v>94</v>
      </c>
      <c r="E2" s="40" t="s">
        <v>95</v>
      </c>
      <c r="F2" s="40">
        <v>2007</v>
      </c>
      <c r="G2" s="40">
        <v>43.5</v>
      </c>
    </row>
    <row r="3" spans="1:7" x14ac:dyDescent="0.3">
      <c r="A3" s="40" t="s">
        <v>96</v>
      </c>
      <c r="B3" s="40" t="s">
        <v>97</v>
      </c>
      <c r="C3" s="40" t="s">
        <v>93</v>
      </c>
      <c r="D3" s="40" t="s">
        <v>98</v>
      </c>
      <c r="E3" s="40" t="s">
        <v>95</v>
      </c>
      <c r="F3" s="40">
        <v>2002</v>
      </c>
      <c r="G3" s="40">
        <v>46.6</v>
      </c>
    </row>
    <row r="4" spans="1:7" hidden="1" x14ac:dyDescent="0.3">
      <c r="A4" s="40" t="s">
        <v>99</v>
      </c>
      <c r="B4" s="40" t="s">
        <v>97</v>
      </c>
      <c r="C4" s="40" t="s">
        <v>93</v>
      </c>
      <c r="D4" s="40" t="s">
        <v>100</v>
      </c>
      <c r="E4" s="40" t="s">
        <v>95</v>
      </c>
      <c r="F4" s="40">
        <v>1994</v>
      </c>
      <c r="G4" s="40">
        <v>50</v>
      </c>
    </row>
    <row r="5" spans="1:7" hidden="1" x14ac:dyDescent="0.3">
      <c r="A5" s="40" t="s">
        <v>101</v>
      </c>
      <c r="B5" s="40" t="s">
        <v>97</v>
      </c>
      <c r="C5" s="40" t="s">
        <v>93</v>
      </c>
      <c r="D5" s="40" t="s">
        <v>94</v>
      </c>
      <c r="E5" s="40" t="s">
        <v>95</v>
      </c>
      <c r="F5" s="40">
        <v>1998</v>
      </c>
      <c r="G5" s="40">
        <v>68</v>
      </c>
    </row>
    <row r="6" spans="1:7" hidden="1" x14ac:dyDescent="0.3">
      <c r="A6" s="40" t="s">
        <v>102</v>
      </c>
      <c r="B6" s="40" t="s">
        <v>97</v>
      </c>
      <c r="C6" s="40" t="s">
        <v>93</v>
      </c>
      <c r="D6" s="40" t="s">
        <v>94</v>
      </c>
      <c r="E6" s="40" t="s">
        <v>95</v>
      </c>
      <c r="F6" s="40">
        <v>2005</v>
      </c>
      <c r="G6" s="40">
        <v>61.1</v>
      </c>
    </row>
    <row r="7" spans="1:7" hidden="1" x14ac:dyDescent="0.3">
      <c r="A7" s="40" t="s">
        <v>103</v>
      </c>
      <c r="B7" s="40" t="s">
        <v>97</v>
      </c>
      <c r="C7" s="40" t="s">
        <v>93</v>
      </c>
      <c r="D7" s="40" t="s">
        <v>94</v>
      </c>
      <c r="E7" s="40" t="s">
        <v>95</v>
      </c>
      <c r="F7" s="40">
        <v>1980</v>
      </c>
      <c r="G7" s="40">
        <v>40</v>
      </c>
    </row>
    <row r="8" spans="1:7" hidden="1" x14ac:dyDescent="0.3">
      <c r="A8" s="40" t="s">
        <v>104</v>
      </c>
      <c r="B8" s="40" t="s">
        <v>105</v>
      </c>
      <c r="C8" s="40" t="s">
        <v>93</v>
      </c>
      <c r="D8" s="40" t="s">
        <v>94</v>
      </c>
      <c r="E8" s="40" t="s">
        <v>95</v>
      </c>
      <c r="F8" s="40">
        <v>2007</v>
      </c>
      <c r="G8" s="40">
        <v>29.1</v>
      </c>
    </row>
    <row r="9" spans="1:7" hidden="1" x14ac:dyDescent="0.3">
      <c r="A9" s="40" t="s">
        <v>106</v>
      </c>
      <c r="B9" s="40" t="s">
        <v>107</v>
      </c>
      <c r="C9" s="40" t="s">
        <v>93</v>
      </c>
      <c r="D9" s="40" t="s">
        <v>94</v>
      </c>
      <c r="E9" s="40" t="s">
        <v>95</v>
      </c>
      <c r="F9" s="40">
        <v>2000</v>
      </c>
      <c r="G9" s="40">
        <v>29.1</v>
      </c>
    </row>
    <row r="10" spans="1:7" hidden="1" x14ac:dyDescent="0.3">
      <c r="A10" s="40" t="s">
        <v>108</v>
      </c>
      <c r="B10" s="40" t="s">
        <v>109</v>
      </c>
      <c r="C10" s="40" t="s">
        <v>93</v>
      </c>
      <c r="D10" s="40" t="s">
        <v>94</v>
      </c>
      <c r="E10" s="40" t="s">
        <v>95</v>
      </c>
      <c r="F10" s="40">
        <v>2007</v>
      </c>
      <c r="G10" s="40">
        <v>43.5</v>
      </c>
    </row>
    <row r="11" spans="1:7" hidden="1" x14ac:dyDescent="0.3">
      <c r="A11" s="40" t="s">
        <v>110</v>
      </c>
      <c r="B11" s="40" t="s">
        <v>109</v>
      </c>
      <c r="C11" s="40" t="s">
        <v>93</v>
      </c>
      <c r="D11" s="40" t="s">
        <v>94</v>
      </c>
      <c r="E11" s="40" t="s">
        <v>95</v>
      </c>
      <c r="F11" s="40">
        <v>2003</v>
      </c>
      <c r="G11" s="40">
        <v>37.299999999999997</v>
      </c>
    </row>
    <row r="12" spans="1:7" hidden="1" x14ac:dyDescent="0.3">
      <c r="A12" s="40" t="s">
        <v>111</v>
      </c>
      <c r="B12" s="40" t="s">
        <v>112</v>
      </c>
      <c r="C12" s="40" t="s">
        <v>93</v>
      </c>
      <c r="D12" s="40" t="s">
        <v>94</v>
      </c>
      <c r="E12" s="40" t="s">
        <v>95</v>
      </c>
      <c r="F12" s="40">
        <v>1998</v>
      </c>
      <c r="G12" s="40">
        <v>28</v>
      </c>
    </row>
    <row r="13" spans="1:7" hidden="1" x14ac:dyDescent="0.3">
      <c r="A13" s="40" t="s">
        <v>113</v>
      </c>
      <c r="B13" s="40" t="s">
        <v>112</v>
      </c>
      <c r="C13" s="40" t="s">
        <v>93</v>
      </c>
      <c r="D13" s="40" t="s">
        <v>114</v>
      </c>
      <c r="E13" s="40" t="s">
        <v>95</v>
      </c>
      <c r="F13" s="40">
        <v>2002</v>
      </c>
      <c r="G13" s="40">
        <v>45</v>
      </c>
    </row>
    <row r="14" spans="1:7" hidden="1" x14ac:dyDescent="0.3">
      <c r="A14" s="40" t="s">
        <v>115</v>
      </c>
      <c r="B14" s="40" t="s">
        <v>116</v>
      </c>
      <c r="C14" s="40" t="s">
        <v>93</v>
      </c>
      <c r="D14" s="40" t="s">
        <v>94</v>
      </c>
      <c r="E14" s="40" t="s">
        <v>95</v>
      </c>
      <c r="F14" s="40">
        <v>2005</v>
      </c>
      <c r="G14" s="40">
        <v>43.5</v>
      </c>
    </row>
    <row r="15" spans="1:7" hidden="1" x14ac:dyDescent="0.3">
      <c r="A15" s="40" t="s">
        <v>117</v>
      </c>
      <c r="B15" s="40" t="s">
        <v>116</v>
      </c>
      <c r="C15" s="40" t="s">
        <v>93</v>
      </c>
      <c r="D15" s="40" t="s">
        <v>118</v>
      </c>
      <c r="E15" s="40" t="s">
        <v>95</v>
      </c>
      <c r="F15" s="40">
        <v>1994</v>
      </c>
      <c r="G15" s="40">
        <v>53</v>
      </c>
    </row>
    <row r="16" spans="1:7" hidden="1" x14ac:dyDescent="0.3">
      <c r="A16" s="40" t="s">
        <v>119</v>
      </c>
      <c r="B16" s="40" t="s">
        <v>120</v>
      </c>
      <c r="C16" s="40" t="s">
        <v>93</v>
      </c>
      <c r="D16" s="40" t="s">
        <v>100</v>
      </c>
      <c r="E16" s="40" t="s">
        <v>95</v>
      </c>
      <c r="F16" s="40">
        <v>2002</v>
      </c>
      <c r="G16" s="40">
        <v>63</v>
      </c>
    </row>
    <row r="17" spans="1:7" hidden="1" x14ac:dyDescent="0.3">
      <c r="A17" s="40" t="s">
        <v>121</v>
      </c>
      <c r="B17" s="40" t="s">
        <v>120</v>
      </c>
      <c r="C17" s="40" t="s">
        <v>93</v>
      </c>
      <c r="D17" s="40" t="s">
        <v>94</v>
      </c>
      <c r="E17" s="40" t="s">
        <v>95</v>
      </c>
      <c r="F17" s="40">
        <v>1999</v>
      </c>
      <c r="G17" s="40">
        <v>55.9</v>
      </c>
    </row>
    <row r="18" spans="1:7" hidden="1" x14ac:dyDescent="0.3">
      <c r="A18" s="40" t="s">
        <v>122</v>
      </c>
      <c r="B18" s="40" t="s">
        <v>120</v>
      </c>
      <c r="C18" s="40" t="s">
        <v>93</v>
      </c>
      <c r="D18" s="40" t="s">
        <v>94</v>
      </c>
      <c r="E18" s="40" t="s">
        <v>95</v>
      </c>
      <c r="F18" s="40">
        <v>2000</v>
      </c>
      <c r="G18" s="40">
        <v>29.1</v>
      </c>
    </row>
    <row r="19" spans="1:7" hidden="1" x14ac:dyDescent="0.3">
      <c r="A19" s="40" t="s">
        <v>123</v>
      </c>
      <c r="B19" s="40" t="s">
        <v>124</v>
      </c>
      <c r="C19" s="40" t="s">
        <v>93</v>
      </c>
      <c r="D19" s="40" t="s">
        <v>100</v>
      </c>
      <c r="E19" s="40" t="s">
        <v>95</v>
      </c>
      <c r="F19" s="40">
        <v>2006</v>
      </c>
      <c r="G19" s="40">
        <v>54.9</v>
      </c>
    </row>
    <row r="20" spans="1:7" hidden="1" x14ac:dyDescent="0.3">
      <c r="A20" s="40" t="s">
        <v>125</v>
      </c>
      <c r="B20" s="40" t="s">
        <v>124</v>
      </c>
      <c r="C20" s="40" t="s">
        <v>93</v>
      </c>
      <c r="D20" s="40" t="s">
        <v>94</v>
      </c>
      <c r="E20" s="40" t="s">
        <v>95</v>
      </c>
      <c r="F20" s="40">
        <v>2005</v>
      </c>
      <c r="G20" s="40">
        <v>54</v>
      </c>
    </row>
    <row r="21" spans="1:7" hidden="1" x14ac:dyDescent="0.3">
      <c r="A21" s="40" t="s">
        <v>103</v>
      </c>
      <c r="B21" s="40" t="s">
        <v>124</v>
      </c>
      <c r="C21" s="40" t="s">
        <v>93</v>
      </c>
      <c r="D21" s="40" t="s">
        <v>94</v>
      </c>
      <c r="E21" s="40" t="s">
        <v>95</v>
      </c>
      <c r="F21" s="40">
        <v>1983</v>
      </c>
      <c r="G21" s="40">
        <v>40</v>
      </c>
    </row>
    <row r="22" spans="1:7" hidden="1" x14ac:dyDescent="0.3">
      <c r="A22" s="40" t="s">
        <v>126</v>
      </c>
      <c r="B22" s="40" t="s">
        <v>124</v>
      </c>
      <c r="C22" s="40" t="s">
        <v>93</v>
      </c>
      <c r="D22" s="40" t="s">
        <v>94</v>
      </c>
      <c r="E22" s="40" t="s">
        <v>95</v>
      </c>
      <c r="F22" s="40">
        <v>1997</v>
      </c>
      <c r="G22" s="40">
        <v>28</v>
      </c>
    </row>
    <row r="23" spans="1:7" hidden="1" x14ac:dyDescent="0.3">
      <c r="A23" s="40" t="s">
        <v>84</v>
      </c>
      <c r="B23" s="40" t="s">
        <v>127</v>
      </c>
      <c r="C23" s="40" t="s">
        <v>128</v>
      </c>
      <c r="D23" s="40" t="s">
        <v>94</v>
      </c>
      <c r="E23" s="40" t="s">
        <v>95</v>
      </c>
      <c r="F23" s="40">
        <v>1932</v>
      </c>
      <c r="G23" s="40">
        <v>45</v>
      </c>
    </row>
    <row r="24" spans="1:7" hidden="1" x14ac:dyDescent="0.3">
      <c r="A24" s="40" t="s">
        <v>129</v>
      </c>
      <c r="B24" s="40" t="s">
        <v>130</v>
      </c>
      <c r="C24" s="40" t="s">
        <v>93</v>
      </c>
      <c r="D24" s="40" t="s">
        <v>94</v>
      </c>
      <c r="E24" s="40" t="s">
        <v>95</v>
      </c>
      <c r="F24" s="40">
        <v>2004</v>
      </c>
      <c r="G24" s="40">
        <v>35</v>
      </c>
    </row>
    <row r="25" spans="1:7" hidden="1" x14ac:dyDescent="0.3">
      <c r="A25" s="40" t="s">
        <v>131</v>
      </c>
      <c r="B25" s="40" t="s">
        <v>132</v>
      </c>
      <c r="C25" s="40" t="s">
        <v>93</v>
      </c>
      <c r="D25" s="40" t="s">
        <v>94</v>
      </c>
      <c r="E25" s="40" t="s">
        <v>95</v>
      </c>
      <c r="F25" s="40">
        <v>1991</v>
      </c>
      <c r="G25" s="40">
        <v>50</v>
      </c>
    </row>
    <row r="26" spans="1:7" hidden="1" x14ac:dyDescent="0.3">
      <c r="A26" s="40" t="s">
        <v>133</v>
      </c>
      <c r="B26" s="40" t="s">
        <v>132</v>
      </c>
      <c r="C26" s="40" t="s">
        <v>93</v>
      </c>
      <c r="D26" s="40" t="s">
        <v>94</v>
      </c>
      <c r="E26" s="40" t="s">
        <v>95</v>
      </c>
      <c r="F26" s="40">
        <v>2001</v>
      </c>
      <c r="G26" s="40">
        <v>29.1</v>
      </c>
    </row>
    <row r="27" spans="1:7" hidden="1" x14ac:dyDescent="0.3">
      <c r="A27" s="40" t="s">
        <v>134</v>
      </c>
      <c r="B27" s="40" t="s">
        <v>135</v>
      </c>
      <c r="C27" s="40" t="s">
        <v>93</v>
      </c>
      <c r="D27" s="40" t="s">
        <v>94</v>
      </c>
      <c r="E27" s="40" t="s">
        <v>95</v>
      </c>
      <c r="F27" s="40">
        <v>2003</v>
      </c>
      <c r="G27" s="40">
        <v>41</v>
      </c>
    </row>
    <row r="28" spans="1:7" hidden="1" x14ac:dyDescent="0.3">
      <c r="A28" s="40" t="s">
        <v>136</v>
      </c>
      <c r="B28" s="40" t="s">
        <v>135</v>
      </c>
      <c r="C28" s="40" t="s">
        <v>93</v>
      </c>
      <c r="D28" s="40" t="s">
        <v>94</v>
      </c>
      <c r="E28" s="40" t="s">
        <v>95</v>
      </c>
      <c r="F28" s="40">
        <v>2005</v>
      </c>
      <c r="G28" s="40">
        <v>28</v>
      </c>
    </row>
    <row r="29" spans="1:7" hidden="1" x14ac:dyDescent="0.3">
      <c r="A29" s="40" t="s">
        <v>137</v>
      </c>
      <c r="B29" s="40" t="s">
        <v>138</v>
      </c>
      <c r="C29" s="40" t="s">
        <v>93</v>
      </c>
      <c r="D29" s="40" t="s">
        <v>100</v>
      </c>
      <c r="E29" s="40" t="s">
        <v>95</v>
      </c>
      <c r="F29" s="40">
        <v>2004</v>
      </c>
      <c r="G29" s="40">
        <v>38</v>
      </c>
    </row>
    <row r="30" spans="1:7" hidden="1" x14ac:dyDescent="0.3">
      <c r="A30" s="40" t="s">
        <v>139</v>
      </c>
      <c r="B30" s="40" t="s">
        <v>138</v>
      </c>
      <c r="C30" s="40" t="s">
        <v>93</v>
      </c>
      <c r="D30" s="40" t="s">
        <v>94</v>
      </c>
      <c r="E30" s="40" t="s">
        <v>95</v>
      </c>
      <c r="F30" s="40">
        <v>1998</v>
      </c>
      <c r="G30" s="40">
        <v>44.7</v>
      </c>
    </row>
    <row r="31" spans="1:7" hidden="1" x14ac:dyDescent="0.3">
      <c r="A31" s="40" t="s">
        <v>140</v>
      </c>
      <c r="B31" s="40" t="s">
        <v>138</v>
      </c>
      <c r="C31" s="40" t="s">
        <v>93</v>
      </c>
      <c r="D31" s="40" t="s">
        <v>94</v>
      </c>
      <c r="E31" s="40" t="s">
        <v>95</v>
      </c>
      <c r="F31" s="40">
        <v>2006</v>
      </c>
      <c r="G31" s="40">
        <v>28</v>
      </c>
    </row>
    <row r="32" spans="1:7" hidden="1" x14ac:dyDescent="0.3">
      <c r="A32" s="40" t="s">
        <v>141</v>
      </c>
      <c r="B32" s="40" t="s">
        <v>142</v>
      </c>
      <c r="C32" s="40" t="s">
        <v>93</v>
      </c>
      <c r="D32" s="40" t="s">
        <v>94</v>
      </c>
      <c r="E32" s="40" t="s">
        <v>95</v>
      </c>
      <c r="F32" s="40">
        <v>1988</v>
      </c>
      <c r="G32" s="40">
        <v>26.8</v>
      </c>
    </row>
    <row r="33" spans="1:7" hidden="1" x14ac:dyDescent="0.3">
      <c r="A33" s="40" t="s">
        <v>143</v>
      </c>
      <c r="B33" s="40" t="s">
        <v>144</v>
      </c>
      <c r="C33" s="40" t="s">
        <v>93</v>
      </c>
      <c r="D33" s="40" t="s">
        <v>94</v>
      </c>
      <c r="E33" s="40" t="s">
        <v>95</v>
      </c>
      <c r="F33" s="40">
        <v>2006</v>
      </c>
      <c r="G33" s="40">
        <v>59</v>
      </c>
    </row>
    <row r="34" spans="1:7" hidden="1" x14ac:dyDescent="0.3">
      <c r="A34" s="40" t="s">
        <v>145</v>
      </c>
      <c r="B34" s="40" t="s">
        <v>144</v>
      </c>
      <c r="C34" s="40" t="s">
        <v>128</v>
      </c>
      <c r="D34" s="40" t="s">
        <v>94</v>
      </c>
      <c r="E34" s="40" t="s">
        <v>95</v>
      </c>
      <c r="F34" s="40">
        <v>1996</v>
      </c>
      <c r="G34" s="40">
        <v>48</v>
      </c>
    </row>
    <row r="35" spans="1:7" hidden="1" x14ac:dyDescent="0.3">
      <c r="A35" s="40" t="s">
        <v>146</v>
      </c>
      <c r="B35" s="40" t="s">
        <v>147</v>
      </c>
      <c r="C35" s="40" t="s">
        <v>93</v>
      </c>
      <c r="D35" s="40" t="s">
        <v>94</v>
      </c>
      <c r="E35" s="40" t="s">
        <v>95</v>
      </c>
      <c r="F35" s="40">
        <v>2006</v>
      </c>
      <c r="G35" s="40">
        <v>31.1</v>
      </c>
    </row>
    <row r="36" spans="1:7" hidden="1" x14ac:dyDescent="0.3">
      <c r="A36" s="40" t="s">
        <v>148</v>
      </c>
      <c r="B36" s="40" t="s">
        <v>149</v>
      </c>
      <c r="C36" s="40" t="s">
        <v>93</v>
      </c>
      <c r="D36" s="40" t="s">
        <v>100</v>
      </c>
      <c r="E36" s="40" t="s">
        <v>95</v>
      </c>
      <c r="F36" s="40">
        <v>2007</v>
      </c>
      <c r="G36" s="40">
        <v>49.7</v>
      </c>
    </row>
    <row r="37" spans="1:7" hidden="1" x14ac:dyDescent="0.3">
      <c r="A37" s="40" t="s">
        <v>150</v>
      </c>
      <c r="B37" s="40" t="s">
        <v>149</v>
      </c>
      <c r="C37" s="40" t="s">
        <v>93</v>
      </c>
      <c r="D37" s="40" t="s">
        <v>94</v>
      </c>
      <c r="E37" s="40" t="s">
        <v>95</v>
      </c>
      <c r="F37" s="40">
        <v>1994</v>
      </c>
      <c r="G37" s="40">
        <v>74</v>
      </c>
    </row>
    <row r="38" spans="1:7" hidden="1" x14ac:dyDescent="0.3">
      <c r="A38" s="40" t="s">
        <v>151</v>
      </c>
      <c r="B38" s="40" t="s">
        <v>149</v>
      </c>
      <c r="C38" s="40" t="s">
        <v>93</v>
      </c>
      <c r="D38" s="40" t="s">
        <v>94</v>
      </c>
      <c r="E38" s="40" t="s">
        <v>95</v>
      </c>
      <c r="F38" s="40">
        <v>1979</v>
      </c>
      <c r="G38" s="40">
        <v>45</v>
      </c>
    </row>
    <row r="39" spans="1:7" hidden="1" x14ac:dyDescent="0.3">
      <c r="A39" s="40" t="s">
        <v>152</v>
      </c>
      <c r="B39" s="40" t="s">
        <v>149</v>
      </c>
      <c r="C39" s="40" t="s">
        <v>128</v>
      </c>
      <c r="D39" s="40" t="s">
        <v>94</v>
      </c>
      <c r="E39" s="40" t="s">
        <v>95</v>
      </c>
      <c r="F39" s="40">
        <v>1935</v>
      </c>
      <c r="G39" s="40">
        <v>40</v>
      </c>
    </row>
    <row r="40" spans="1:7" hidden="1" x14ac:dyDescent="0.3">
      <c r="A40" s="40" t="s">
        <v>84</v>
      </c>
      <c r="B40" s="40" t="s">
        <v>149</v>
      </c>
      <c r="C40" s="40" t="s">
        <v>128</v>
      </c>
      <c r="D40" s="40" t="s">
        <v>94</v>
      </c>
      <c r="E40" s="40" t="s">
        <v>95</v>
      </c>
      <c r="F40" s="40">
        <v>1933</v>
      </c>
      <c r="G40" s="40">
        <v>35</v>
      </c>
    </row>
    <row r="41" spans="1:7" x14ac:dyDescent="0.3">
      <c r="A41" s="40" t="s">
        <v>153</v>
      </c>
      <c r="B41" s="40" t="s">
        <v>154</v>
      </c>
      <c r="C41" s="40" t="s">
        <v>93</v>
      </c>
      <c r="D41" s="40" t="s">
        <v>94</v>
      </c>
      <c r="E41" s="40" t="s">
        <v>95</v>
      </c>
      <c r="F41" s="40">
        <v>1993</v>
      </c>
      <c r="G41" s="40">
        <v>47</v>
      </c>
    </row>
    <row r="42" spans="1:7" hidden="1" x14ac:dyDescent="0.3">
      <c r="A42" s="40" t="s">
        <v>155</v>
      </c>
      <c r="B42" s="40" t="s">
        <v>156</v>
      </c>
      <c r="C42" s="40" t="s">
        <v>93</v>
      </c>
      <c r="D42" s="40" t="s">
        <v>94</v>
      </c>
      <c r="E42" s="40" t="s">
        <v>95</v>
      </c>
      <c r="F42" s="40">
        <v>2007</v>
      </c>
      <c r="G42" s="40">
        <v>47</v>
      </c>
    </row>
    <row r="43" spans="1:7" hidden="1" x14ac:dyDescent="0.3">
      <c r="A43" s="40" t="s">
        <v>157</v>
      </c>
      <c r="B43" s="40" t="s">
        <v>156</v>
      </c>
      <c r="C43" s="40" t="s">
        <v>93</v>
      </c>
      <c r="D43" s="40" t="s">
        <v>94</v>
      </c>
      <c r="E43" s="40" t="s">
        <v>95</v>
      </c>
      <c r="F43" s="40">
        <v>1995</v>
      </c>
      <c r="G43" s="40">
        <v>34</v>
      </c>
    </row>
    <row r="44" spans="1:7" hidden="1" x14ac:dyDescent="0.3">
      <c r="A44" s="40" t="s">
        <v>106</v>
      </c>
      <c r="B44" s="40" t="s">
        <v>158</v>
      </c>
      <c r="C44" s="40" t="s">
        <v>93</v>
      </c>
      <c r="D44" s="40" t="s">
        <v>94</v>
      </c>
      <c r="E44" s="40" t="s">
        <v>95</v>
      </c>
      <c r="F44" s="40">
        <v>1998</v>
      </c>
      <c r="G44" s="40">
        <v>29.1</v>
      </c>
    </row>
    <row r="45" spans="1:7" hidden="1" x14ac:dyDescent="0.3">
      <c r="A45" s="40" t="s">
        <v>159</v>
      </c>
      <c r="B45" s="40" t="s">
        <v>160</v>
      </c>
      <c r="C45" s="40" t="s">
        <v>93</v>
      </c>
      <c r="D45" s="40" t="s">
        <v>100</v>
      </c>
      <c r="E45" s="40" t="s">
        <v>95</v>
      </c>
      <c r="F45" s="40">
        <v>2003</v>
      </c>
      <c r="G45" s="40">
        <v>47.8</v>
      </c>
    </row>
    <row r="46" spans="1:7" hidden="1" x14ac:dyDescent="0.3">
      <c r="A46" s="40" t="s">
        <v>161</v>
      </c>
      <c r="B46" s="40" t="s">
        <v>160</v>
      </c>
      <c r="C46" s="40" t="s">
        <v>93</v>
      </c>
      <c r="D46" s="40" t="s">
        <v>94</v>
      </c>
      <c r="E46" s="40" t="s">
        <v>95</v>
      </c>
      <c r="F46" s="40">
        <v>2006</v>
      </c>
      <c r="G46" s="40">
        <v>80</v>
      </c>
    </row>
    <row r="47" spans="1:7" hidden="1" x14ac:dyDescent="0.3">
      <c r="A47" s="40" t="s">
        <v>162</v>
      </c>
      <c r="B47" s="40" t="s">
        <v>160</v>
      </c>
      <c r="C47" s="40" t="s">
        <v>93</v>
      </c>
      <c r="D47" s="40" t="s">
        <v>94</v>
      </c>
      <c r="E47" s="40" t="s">
        <v>95</v>
      </c>
      <c r="F47" s="40">
        <v>2002</v>
      </c>
      <c r="G47" s="40">
        <v>45</v>
      </c>
    </row>
    <row r="48" spans="1:7" hidden="1" x14ac:dyDescent="0.3">
      <c r="A48" s="40" t="s">
        <v>163</v>
      </c>
      <c r="B48" s="40" t="s">
        <v>160</v>
      </c>
      <c r="C48" s="40" t="s">
        <v>93</v>
      </c>
      <c r="D48" s="40" t="s">
        <v>94</v>
      </c>
      <c r="E48" s="40" t="s">
        <v>95</v>
      </c>
      <c r="F48" s="40">
        <v>1996</v>
      </c>
      <c r="G48" s="40">
        <v>27.7</v>
      </c>
    </row>
    <row r="49" spans="1:7" hidden="1" x14ac:dyDescent="0.3">
      <c r="A49" s="40" t="s">
        <v>164</v>
      </c>
      <c r="B49" s="40" t="s">
        <v>165</v>
      </c>
      <c r="C49" s="40" t="s">
        <v>93</v>
      </c>
      <c r="D49" s="40" t="s">
        <v>94</v>
      </c>
      <c r="E49" s="40" t="s">
        <v>95</v>
      </c>
      <c r="F49" s="40">
        <v>1998</v>
      </c>
      <c r="G49" s="40">
        <v>29.1</v>
      </c>
    </row>
    <row r="50" spans="1:7" hidden="1" x14ac:dyDescent="0.3">
      <c r="A50" s="40" t="s">
        <v>166</v>
      </c>
      <c r="B50" s="40" t="s">
        <v>165</v>
      </c>
      <c r="C50" s="40" t="s">
        <v>93</v>
      </c>
      <c r="D50" s="40" t="s">
        <v>94</v>
      </c>
      <c r="E50" s="40" t="s">
        <v>95</v>
      </c>
      <c r="F50" s="40">
        <v>1992</v>
      </c>
      <c r="G50" s="40">
        <v>28.5</v>
      </c>
    </row>
    <row r="51" spans="1:7" hidden="1" x14ac:dyDescent="0.3">
      <c r="A51" s="40" t="s">
        <v>84</v>
      </c>
      <c r="B51" s="40" t="s">
        <v>167</v>
      </c>
      <c r="C51" s="40" t="s">
        <v>93</v>
      </c>
      <c r="D51" s="40" t="s">
        <v>94</v>
      </c>
      <c r="E51" s="40" t="s">
        <v>95</v>
      </c>
      <c r="F51" s="40">
        <v>2000</v>
      </c>
      <c r="G51" s="40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5D98-9A78-4B77-8B85-BD68A5840C5E}">
  <dimension ref="A1:G24"/>
  <sheetViews>
    <sheetView tabSelected="1" workbookViewId="0"/>
  </sheetViews>
  <sheetFormatPr defaultRowHeight="14.4" x14ac:dyDescent="0.3"/>
  <cols>
    <col min="1" max="1" width="27.88671875" customWidth="1"/>
    <col min="2" max="2" width="16.44140625" customWidth="1"/>
    <col min="3" max="3" width="9.33203125" customWidth="1"/>
    <col min="4" max="4" width="9.5546875" customWidth="1"/>
    <col min="5" max="6" width="9.33203125" customWidth="1"/>
    <col min="7" max="7" width="12.33203125" customWidth="1"/>
  </cols>
  <sheetData>
    <row r="1" spans="1:7" ht="16.2" x14ac:dyDescent="0.35">
      <c r="A1" s="42" t="s">
        <v>168</v>
      </c>
      <c r="B1" s="43" t="s">
        <v>225</v>
      </c>
      <c r="C1" s="43" t="s">
        <v>226</v>
      </c>
      <c r="D1" s="43" t="s">
        <v>227</v>
      </c>
      <c r="E1" s="43" t="s">
        <v>228</v>
      </c>
      <c r="F1" s="43" t="s">
        <v>229</v>
      </c>
      <c r="G1" s="43" t="s">
        <v>230</v>
      </c>
    </row>
    <row r="2" spans="1:7" hidden="1" x14ac:dyDescent="0.3">
      <c r="A2" s="44"/>
      <c r="B2" s="44"/>
      <c r="C2" s="44"/>
      <c r="D2" s="44"/>
      <c r="E2" s="44"/>
      <c r="F2" s="44"/>
      <c r="G2" s="44"/>
    </row>
    <row r="3" spans="1:7" hidden="1" x14ac:dyDescent="0.3">
      <c r="A3" s="45" t="s">
        <v>169</v>
      </c>
      <c r="B3" s="45" t="s">
        <v>170</v>
      </c>
      <c r="C3" s="46"/>
      <c r="D3" s="45" t="s">
        <v>171</v>
      </c>
      <c r="E3" s="45" t="s">
        <v>172</v>
      </c>
      <c r="F3" s="45" t="s">
        <v>173</v>
      </c>
      <c r="G3" s="45" t="s">
        <v>174</v>
      </c>
    </row>
    <row r="4" spans="1:7" hidden="1" x14ac:dyDescent="0.3">
      <c r="A4" s="46"/>
      <c r="B4" s="46"/>
      <c r="C4" s="46"/>
      <c r="D4" s="46"/>
      <c r="E4" s="46"/>
      <c r="F4" s="46"/>
      <c r="G4" s="46"/>
    </row>
    <row r="5" spans="1:7" hidden="1" x14ac:dyDescent="0.3">
      <c r="A5" s="47" t="s">
        <v>175</v>
      </c>
      <c r="B5" s="47" t="s">
        <v>176</v>
      </c>
      <c r="C5" s="48"/>
      <c r="D5" s="47">
        <v>4</v>
      </c>
      <c r="E5" s="47" t="s">
        <v>177</v>
      </c>
      <c r="F5" s="49">
        <v>69</v>
      </c>
      <c r="G5" s="47" t="s">
        <v>178</v>
      </c>
    </row>
    <row r="6" spans="1:7" hidden="1" x14ac:dyDescent="0.3">
      <c r="A6" s="47" t="s">
        <v>21</v>
      </c>
      <c r="B6" s="47" t="s">
        <v>179</v>
      </c>
      <c r="C6" s="48"/>
      <c r="D6" s="47">
        <v>7</v>
      </c>
      <c r="E6" s="47" t="s">
        <v>177</v>
      </c>
      <c r="F6" s="49">
        <v>135</v>
      </c>
      <c r="G6" s="47" t="s">
        <v>180</v>
      </c>
    </row>
    <row r="7" spans="1:7" hidden="1" x14ac:dyDescent="0.3">
      <c r="A7" s="47" t="s">
        <v>181</v>
      </c>
      <c r="B7" s="47" t="s">
        <v>182</v>
      </c>
      <c r="C7" s="48"/>
      <c r="D7" s="47">
        <v>5</v>
      </c>
      <c r="E7" s="47" t="s">
        <v>177</v>
      </c>
      <c r="F7" s="49">
        <v>95</v>
      </c>
      <c r="G7" s="47" t="s">
        <v>183</v>
      </c>
    </row>
    <row r="8" spans="1:7" hidden="1" x14ac:dyDescent="0.3">
      <c r="A8" s="47" t="s">
        <v>184</v>
      </c>
      <c r="B8" s="47" t="s">
        <v>185</v>
      </c>
      <c r="C8" s="48"/>
      <c r="D8" s="47">
        <v>21</v>
      </c>
      <c r="E8" s="47" t="s">
        <v>186</v>
      </c>
      <c r="F8" s="49">
        <v>429</v>
      </c>
      <c r="G8" s="47" t="s">
        <v>187</v>
      </c>
    </row>
    <row r="9" spans="1:7" hidden="1" x14ac:dyDescent="0.3">
      <c r="A9" s="47" t="s">
        <v>188</v>
      </c>
      <c r="B9" s="47" t="s">
        <v>189</v>
      </c>
      <c r="C9" s="48"/>
      <c r="D9" s="47">
        <v>4</v>
      </c>
      <c r="E9" s="47" t="s">
        <v>190</v>
      </c>
      <c r="F9" s="49">
        <v>219</v>
      </c>
      <c r="G9" s="47" t="s">
        <v>191</v>
      </c>
    </row>
    <row r="10" spans="1:7" hidden="1" x14ac:dyDescent="0.3">
      <c r="A10" s="47" t="s">
        <v>192</v>
      </c>
      <c r="B10" s="47" t="s">
        <v>193</v>
      </c>
      <c r="C10" s="48"/>
      <c r="D10" s="47">
        <v>8</v>
      </c>
      <c r="E10" s="47" t="s">
        <v>186</v>
      </c>
      <c r="F10" s="49">
        <v>699</v>
      </c>
      <c r="G10" s="47" t="s">
        <v>194</v>
      </c>
    </row>
    <row r="11" spans="1:7" hidden="1" x14ac:dyDescent="0.3">
      <c r="A11" s="47" t="s">
        <v>195</v>
      </c>
      <c r="B11" s="47" t="s">
        <v>196</v>
      </c>
      <c r="C11" s="48"/>
      <c r="D11" s="47">
        <v>8</v>
      </c>
      <c r="E11" s="47" t="s">
        <v>186</v>
      </c>
      <c r="F11" s="49">
        <v>269</v>
      </c>
      <c r="G11" s="47" t="s">
        <v>197</v>
      </c>
    </row>
    <row r="12" spans="1:7" hidden="1" x14ac:dyDescent="0.3">
      <c r="A12" s="47" t="s">
        <v>198</v>
      </c>
      <c r="B12" s="47" t="s">
        <v>199</v>
      </c>
      <c r="C12" s="48"/>
      <c r="D12" s="47">
        <v>14</v>
      </c>
      <c r="E12" s="47" t="s">
        <v>186</v>
      </c>
      <c r="F12" s="49">
        <v>375</v>
      </c>
      <c r="G12" s="47" t="s">
        <v>200</v>
      </c>
    </row>
    <row r="13" spans="1:7" hidden="1" x14ac:dyDescent="0.3">
      <c r="A13" s="47" t="s">
        <v>188</v>
      </c>
      <c r="B13" s="47" t="s">
        <v>201</v>
      </c>
      <c r="C13" s="48"/>
      <c r="D13" s="47">
        <v>6</v>
      </c>
      <c r="E13" s="47" t="s">
        <v>186</v>
      </c>
      <c r="F13" s="49">
        <v>198</v>
      </c>
      <c r="G13" s="47" t="s">
        <v>202</v>
      </c>
    </row>
    <row r="14" spans="1:7" hidden="1" x14ac:dyDescent="0.3">
      <c r="A14" s="47" t="s">
        <v>203</v>
      </c>
      <c r="B14" s="47" t="s">
        <v>204</v>
      </c>
      <c r="C14" s="48"/>
      <c r="D14" s="47">
        <v>14</v>
      </c>
      <c r="E14" s="47" t="s">
        <v>186</v>
      </c>
      <c r="F14" s="49">
        <v>399</v>
      </c>
      <c r="G14" s="47" t="s">
        <v>205</v>
      </c>
    </row>
    <row r="15" spans="1:7" x14ac:dyDescent="0.3">
      <c r="A15" s="47" t="s">
        <v>188</v>
      </c>
      <c r="B15" s="47" t="s">
        <v>206</v>
      </c>
      <c r="C15" s="48"/>
      <c r="D15" s="47">
        <v>16</v>
      </c>
      <c r="E15" s="47" t="s">
        <v>186</v>
      </c>
      <c r="F15" s="49">
        <v>234</v>
      </c>
      <c r="G15" s="47" t="s">
        <v>207</v>
      </c>
    </row>
    <row r="16" spans="1:7" hidden="1" x14ac:dyDescent="0.3">
      <c r="A16" s="47" t="s">
        <v>208</v>
      </c>
      <c r="B16" s="47" t="s">
        <v>209</v>
      </c>
      <c r="C16" s="48"/>
      <c r="D16" s="47">
        <v>32</v>
      </c>
      <c r="E16" s="47" t="s">
        <v>186</v>
      </c>
      <c r="F16" s="49">
        <v>750</v>
      </c>
      <c r="G16" s="47" t="s">
        <v>210</v>
      </c>
    </row>
    <row r="17" spans="1:7" hidden="1" x14ac:dyDescent="0.3">
      <c r="A17" s="47" t="s">
        <v>198</v>
      </c>
      <c r="B17" s="47" t="s">
        <v>211</v>
      </c>
      <c r="C17" s="48"/>
      <c r="D17" s="47">
        <v>60</v>
      </c>
      <c r="E17" s="47" t="s">
        <v>186</v>
      </c>
      <c r="F17" s="49">
        <v>1128</v>
      </c>
      <c r="G17" s="47" t="s">
        <v>212</v>
      </c>
    </row>
    <row r="18" spans="1:7" x14ac:dyDescent="0.3">
      <c r="A18" s="47" t="s">
        <v>188</v>
      </c>
      <c r="B18" s="47" t="s">
        <v>201</v>
      </c>
      <c r="C18" s="48"/>
      <c r="D18" s="47">
        <v>14</v>
      </c>
      <c r="E18" s="47" t="s">
        <v>186</v>
      </c>
      <c r="F18" s="49">
        <v>255</v>
      </c>
      <c r="G18" s="47" t="s">
        <v>213</v>
      </c>
    </row>
    <row r="19" spans="1:7" hidden="1" x14ac:dyDescent="0.3">
      <c r="A19" s="47" t="s">
        <v>198</v>
      </c>
      <c r="B19" s="47" t="s">
        <v>199</v>
      </c>
      <c r="C19" s="48"/>
      <c r="D19" s="47">
        <v>7</v>
      </c>
      <c r="E19" s="47" t="s">
        <v>186</v>
      </c>
      <c r="F19" s="49">
        <v>295</v>
      </c>
      <c r="G19" s="47" t="s">
        <v>214</v>
      </c>
    </row>
    <row r="20" spans="1:7" hidden="1" x14ac:dyDescent="0.3">
      <c r="A20" s="47" t="s">
        <v>203</v>
      </c>
      <c r="B20" s="47" t="s">
        <v>215</v>
      </c>
      <c r="C20" s="48"/>
      <c r="D20" s="47">
        <v>5</v>
      </c>
      <c r="E20" s="47" t="s">
        <v>190</v>
      </c>
      <c r="F20" s="49">
        <v>269</v>
      </c>
      <c r="G20" s="47" t="s">
        <v>216</v>
      </c>
    </row>
    <row r="21" spans="1:7" hidden="1" x14ac:dyDescent="0.3">
      <c r="A21" s="47" t="s">
        <v>217</v>
      </c>
      <c r="B21" s="47" t="s">
        <v>218</v>
      </c>
      <c r="C21" s="48"/>
      <c r="D21" s="47">
        <v>3</v>
      </c>
      <c r="E21" s="47" t="s">
        <v>190</v>
      </c>
      <c r="F21" s="49">
        <v>69</v>
      </c>
      <c r="G21" s="47" t="s">
        <v>219</v>
      </c>
    </row>
    <row r="22" spans="1:7" hidden="1" x14ac:dyDescent="0.3">
      <c r="A22" s="47" t="s">
        <v>203</v>
      </c>
      <c r="B22" s="47" t="s">
        <v>215</v>
      </c>
      <c r="C22" s="48"/>
      <c r="D22" s="47">
        <v>3</v>
      </c>
      <c r="E22" s="47" t="s">
        <v>190</v>
      </c>
      <c r="F22" s="49">
        <v>125</v>
      </c>
      <c r="G22" s="47" t="s">
        <v>220</v>
      </c>
    </row>
    <row r="23" spans="1:7" hidden="1" x14ac:dyDescent="0.3">
      <c r="A23" s="47" t="s">
        <v>203</v>
      </c>
      <c r="B23" s="47" t="s">
        <v>221</v>
      </c>
      <c r="C23" s="48"/>
      <c r="D23" s="47">
        <v>7</v>
      </c>
      <c r="E23" s="47" t="s">
        <v>186</v>
      </c>
      <c r="F23" s="49">
        <v>289</v>
      </c>
      <c r="G23" s="47" t="s">
        <v>222</v>
      </c>
    </row>
    <row r="24" spans="1:7" hidden="1" x14ac:dyDescent="0.3">
      <c r="A24" s="47" t="s">
        <v>188</v>
      </c>
      <c r="B24" s="47" t="s">
        <v>223</v>
      </c>
      <c r="C24" s="48"/>
      <c r="D24" s="47">
        <v>10</v>
      </c>
      <c r="E24" s="47" t="s">
        <v>186</v>
      </c>
      <c r="F24" s="49">
        <v>199</v>
      </c>
      <c r="G24" s="47" t="s">
        <v>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2015-06-05T18:17:20Z</dcterms:created>
  <dcterms:modified xsi:type="dcterms:W3CDTF">2026-08-08T05:54:57Z</dcterms:modified>
</cp:coreProperties>
</file>