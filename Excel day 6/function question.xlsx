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el day 6\"/>
    </mc:Choice>
  </mc:AlternateContent>
  <xr:revisionPtr revIDLastSave="0" documentId="13_ncr:1_{DF2FF0BF-43E2-4F25-B559-7FF7B6BECB22}" xr6:coauthVersionLast="47" xr6:coauthVersionMax="47" xr10:uidLastSave="{00000000-0000-0000-0000-000000000000}"/>
  <bookViews>
    <workbookView xWindow="11424" yWindow="0" windowWidth="11712" windowHeight="12336" xr2:uid="{9AE620A7-1FA9-4950-A270-586FA65471FB}"/>
  </bookViews>
  <sheets>
    <sheet name="Sheet1" sheetId="1" r:id="rId1"/>
  </sheets>
  <definedNames>
    <definedName name="City">Sheet1!$D$2:$D$11</definedName>
    <definedName name="Data_Base">Sheet1!$A$1:$F$11</definedName>
    <definedName name="data_data">Sheet1!$A$2:$F$11</definedName>
    <definedName name="Department">Sheet1!$C$2:$C$11</definedName>
    <definedName name="Emp_ID">Sheet1!$A$2:$A$11</definedName>
    <definedName name="Experience">Sheet1!$F$2:$F$11</definedName>
    <definedName name="Name">Sheet1!$B$2:$B$11</definedName>
    <definedName name="Salary">Sheet1!$E$2:$E$11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0" i="1" l="1" a="1"/>
  <c r="Y90" i="1" s="1"/>
  <c r="P97" i="1" a="1"/>
  <c r="P97" i="1" s="1"/>
  <c r="P90" i="1" a="1"/>
  <c r="P90" i="1" s="1"/>
  <c r="G96" i="1" a="1"/>
  <c r="G96" i="1" s="1"/>
  <c r="G90" i="1" a="1"/>
  <c r="G90" i="1" s="1"/>
  <c r="Y76" i="1" a="1"/>
  <c r="Y76" i="1" s="1"/>
  <c r="P76" i="1" a="1"/>
  <c r="P76" i="1" s="1"/>
  <c r="G82" i="1" a="1"/>
  <c r="G82" i="1" s="1"/>
  <c r="G77" i="1" a="1"/>
  <c r="G77" i="1" s="1"/>
  <c r="P63" i="1" a="1"/>
  <c r="P63" i="1" s="1"/>
  <c r="P52" i="1" a="1"/>
  <c r="P52" i="1" s="1"/>
  <c r="G64" i="1" a="1"/>
  <c r="G64" i="1" s="1"/>
  <c r="G52" i="1" a="1"/>
  <c r="G52" i="1" s="1"/>
  <c r="Y28" i="1" a="1"/>
  <c r="Y28" i="1" s="1"/>
  <c r="P39" i="1" a="1"/>
  <c r="P39" i="1" s="1"/>
  <c r="P28" i="1" a="1"/>
  <c r="P28" i="1" s="1"/>
  <c r="G39" i="1" a="1"/>
  <c r="G39" i="1" s="1"/>
  <c r="G28" i="1" a="1"/>
  <c r="G28" i="1" s="1"/>
  <c r="Y14" i="1" a="1"/>
  <c r="Y14" i="1" s="1"/>
  <c r="P21" i="1" a="1"/>
  <c r="P21" i="1" s="1"/>
  <c r="P14" i="1" a="1"/>
  <c r="P14" i="1" s="1"/>
  <c r="G19" i="1" a="1"/>
  <c r="G19" i="1" s="1"/>
  <c r="G14" i="1" a="1"/>
  <c r="G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<sst xmlns="http://schemas.openxmlformats.org/spreadsheetml/2006/main" count="78" uniqueCount="56">
  <si>
    <t>Emp ID</t>
  </si>
  <si>
    <t>Name</t>
  </si>
  <si>
    <t>Department</t>
  </si>
  <si>
    <t>City</t>
  </si>
  <si>
    <t>Salary</t>
  </si>
  <si>
    <t>Experience</t>
  </si>
  <si>
    <t>Amit</t>
  </si>
  <si>
    <t>IT</t>
  </si>
  <si>
    <t>Delhi</t>
  </si>
  <si>
    <t>Neha</t>
  </si>
  <si>
    <t>HR</t>
  </si>
  <si>
    <t>Jaipur</t>
  </si>
  <si>
    <t>Ravi</t>
  </si>
  <si>
    <t>Priya</t>
  </si>
  <si>
    <t>Sales</t>
  </si>
  <si>
    <t>Mumbai</t>
  </si>
  <si>
    <t>Karan</t>
  </si>
  <si>
    <t>Sonia</t>
  </si>
  <si>
    <t>Pune</t>
  </si>
  <si>
    <t>Mohit</t>
  </si>
  <si>
    <t>Pooja</t>
  </si>
  <si>
    <t>Finance</t>
  </si>
  <si>
    <t>Rahul</t>
  </si>
  <si>
    <t>Simran</t>
  </si>
  <si>
    <t>question</t>
  </si>
  <si>
    <t xml:space="preserve">of </t>
  </si>
  <si>
    <t>FILTER</t>
  </si>
  <si>
    <t>function</t>
  </si>
  <si>
    <r>
      <t xml:space="preserve">Sirf </t>
    </r>
    <r>
      <rPr>
        <b/>
        <sz val="11"/>
        <color theme="1"/>
        <rFont val="Aptos Narrow"/>
        <family val="2"/>
        <scheme val="minor"/>
      </rPr>
      <t>IT Department</t>
    </r>
    <r>
      <rPr>
        <sz val="11"/>
        <color theme="1"/>
        <rFont val="Aptos Narrow"/>
        <family val="2"/>
        <scheme val="minor"/>
      </rPr>
      <t xml:space="preserve"> ke employees dikhao.</t>
    </r>
  </si>
  <si>
    <t>Sirf Delhi City ke employees dikhao.</t>
  </si>
  <si>
    <t>Jinki Salary 50000 se zyada hai unhe dikhao.</t>
  </si>
  <si>
    <t>Jinki Experience 3 years ya usse zyada hai unhe dikhao.</t>
  </si>
  <si>
    <t>Sirf Finance Department ke employees dikhao.</t>
  </si>
  <si>
    <t xml:space="preserve">question </t>
  </si>
  <si>
    <t>of</t>
  </si>
  <si>
    <t>SORT</t>
  </si>
  <si>
    <r>
      <t xml:space="preserve">Salary ko </t>
    </r>
    <r>
      <rPr>
        <b/>
        <sz val="11"/>
        <color theme="1"/>
        <rFont val="Aptos Narrow"/>
        <family val="2"/>
        <scheme val="minor"/>
      </rPr>
      <t>Smallest to Largest</t>
    </r>
    <r>
      <rPr>
        <sz val="11"/>
        <color theme="1"/>
        <rFont val="Aptos Narrow"/>
        <family val="2"/>
        <scheme val="minor"/>
      </rPr>
      <t xml:space="preserve"> sort karo.</t>
    </r>
  </si>
  <si>
    <r>
      <t xml:space="preserve">Salary ko </t>
    </r>
    <r>
      <rPr>
        <b/>
        <sz val="11"/>
        <color theme="1"/>
        <rFont val="Aptos Narrow"/>
        <family val="2"/>
        <scheme val="minor"/>
      </rPr>
      <t>Largest to Smallest</t>
    </r>
    <r>
      <rPr>
        <sz val="11"/>
        <color theme="1"/>
        <rFont val="Aptos Narrow"/>
        <family val="2"/>
        <scheme val="minor"/>
      </rPr>
      <t xml:space="preserve"> sort karo.</t>
    </r>
  </si>
  <si>
    <r>
      <t xml:space="preserve">Name ko </t>
    </r>
    <r>
      <rPr>
        <b/>
        <sz val="11"/>
        <color theme="1"/>
        <rFont val="Aptos Narrow"/>
        <family val="2"/>
        <scheme val="minor"/>
      </rPr>
      <t>A to Z</t>
    </r>
    <r>
      <rPr>
        <sz val="11"/>
        <color theme="1"/>
        <rFont val="Aptos Narrow"/>
        <family val="2"/>
        <scheme val="minor"/>
      </rPr>
      <t xml:space="preserve"> sort karo.</t>
    </r>
  </si>
  <si>
    <t>Experience ko Highest to Lowest sort karo.</t>
  </si>
  <si>
    <t>Department ko Alphabetical Order me sort karo.</t>
  </si>
  <si>
    <t>SORTBY</t>
  </si>
  <si>
    <t>Data ko Experience ke hisaab se Highest to Lowest sort karo.</t>
  </si>
  <si>
    <t>Data ko Salary ke hisaab se sort karo.</t>
  </si>
  <si>
    <t>Data ko Name ke hisaab se A to Z sort karo.</t>
  </si>
  <si>
    <t>Data ko Department ke hisaab se sort karo.</t>
  </si>
  <si>
    <t>UNIQUE</t>
  </si>
  <si>
    <t>Unique Department list nikalo.</t>
  </si>
  <si>
    <t>Unique City list nikalo.</t>
  </si>
  <si>
    <t>Unique Salary list nikalo.</t>
  </si>
  <si>
    <t>Unique Experience values nikalo.</t>
  </si>
  <si>
    <t>5 random numbers generate karo.</t>
  </si>
  <si>
    <t>10 random numbers generate karo.</t>
  </si>
  <si>
    <t>5×3 ka random number table banao.</t>
  </si>
  <si>
    <t>1 se 100 ke beech random integers generate karo.</t>
  </si>
  <si>
    <t>10 se 50 ke beech 8 random integers generate karo.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</si>
</sst>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6BB1-87BE-4EB9-952F-C62428B38013}">
  <dimension ref="A1:AD106"/>
  <sheetViews>
    <sheetView tabSelected="1" topLeftCell="B1" zoomScale="115" workbookViewId="0">
      <selection activeCell="Y91" sqref="Y91"/>
    </sheetView>
  </sheetViews>
  <sheetFormatPr defaultRowHeight="14.4" x14ac:dyDescent="0.3"/>
  <cols>
    <col min="3" max="3" width="11.44140625" customWidth="1"/>
    <col min="4" max="4" width="10.33203125" customWidth="1"/>
    <col min="6" max="6" width="64.6640625" customWidth="1"/>
    <col min="10" max="10" width="11.6640625" customWidth="1"/>
    <col min="15" max="15" width="44" customWidth="1"/>
    <col min="24" max="24" width="42.77734375" customWidth="1"/>
  </cols>
  <sheetData>
    <row r="1" spans="1:30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30" x14ac:dyDescent="0.3">
      <c r="A2" s="1">
        <v>101</v>
      </c>
      <c r="B2" s="4" t="s">
        <v>6</v>
      </c>
      <c r="C2" s="4" t="s">
        <v>7</v>
      </c>
      <c r="D2" s="4" t="s">
        <v>8</v>
      </c>
      <c r="E2" s="1">
        <v>45000</v>
      </c>
      <c r="F2" s="1">
        <v>2</v>
      </c>
    </row>
    <row r="3" spans="1:30" x14ac:dyDescent="0.3">
      <c r="A3" s="1">
        <v>102</v>
      </c>
      <c r="B3" s="4" t="s">
        <v>9</v>
      </c>
      <c r="C3" s="4" t="s">
        <v>10</v>
      </c>
      <c r="D3" s="4" t="s">
        <v>11</v>
      </c>
      <c r="E3" s="1">
        <v>38000</v>
      </c>
      <c r="F3" s="1">
        <v>1</v>
      </c>
    </row>
    <row r="4" spans="1:30" x14ac:dyDescent="0.3">
      <c r="A4" s="1">
        <v>103</v>
      </c>
      <c r="B4" s="4" t="s">
        <v>12</v>
      </c>
      <c r="C4" s="4" t="s">
        <v>7</v>
      </c>
      <c r="D4" s="4" t="s">
        <v>8</v>
      </c>
      <c r="E4" s="1">
        <v>55000</v>
      </c>
      <c r="F4" s="1">
        <v>4</v>
      </c>
    </row>
    <row r="5" spans="1:30" x14ac:dyDescent="0.3">
      <c r="A5" s="1">
        <v>104</v>
      </c>
      <c r="B5" s="4" t="s">
        <v>13</v>
      </c>
      <c r="C5" s="4" t="s">
        <v>14</v>
      </c>
      <c r="D5" s="4" t="s">
        <v>15</v>
      </c>
      <c r="E5" s="1">
        <v>42000</v>
      </c>
      <c r="F5" s="1">
        <v>3</v>
      </c>
    </row>
    <row r="6" spans="1:30" x14ac:dyDescent="0.3">
      <c r="A6" s="1">
        <v>105</v>
      </c>
      <c r="B6" s="4" t="s">
        <v>16</v>
      </c>
      <c r="C6" s="4" t="s">
        <v>10</v>
      </c>
      <c r="D6" s="4" t="s">
        <v>8</v>
      </c>
      <c r="E6" s="1">
        <v>39000</v>
      </c>
      <c r="F6" s="1">
        <v>2</v>
      </c>
    </row>
    <row r="7" spans="1:30" x14ac:dyDescent="0.3">
      <c r="A7" s="1">
        <v>106</v>
      </c>
      <c r="B7" s="4" t="s">
        <v>17</v>
      </c>
      <c r="C7" s="4" t="s">
        <v>7</v>
      </c>
      <c r="D7" s="4" t="s">
        <v>18</v>
      </c>
      <c r="E7" s="1">
        <v>60000</v>
      </c>
      <c r="F7" s="1">
        <v>5</v>
      </c>
    </row>
    <row r="8" spans="1:30" x14ac:dyDescent="0.3">
      <c r="A8" s="1">
        <v>107</v>
      </c>
      <c r="B8" s="4" t="s">
        <v>19</v>
      </c>
      <c r="C8" s="4" t="s">
        <v>14</v>
      </c>
      <c r="D8" s="4" t="s">
        <v>11</v>
      </c>
      <c r="E8" s="1">
        <v>41000</v>
      </c>
      <c r="F8" s="1">
        <v>2</v>
      </c>
    </row>
    <row r="9" spans="1:30" x14ac:dyDescent="0.3">
      <c r="A9" s="1">
        <v>108</v>
      </c>
      <c r="B9" s="4" t="s">
        <v>20</v>
      </c>
      <c r="C9" s="4" t="s">
        <v>21</v>
      </c>
      <c r="D9" s="4" t="s">
        <v>8</v>
      </c>
      <c r="E9" s="1">
        <v>50000</v>
      </c>
      <c r="F9" s="1">
        <v>4</v>
      </c>
    </row>
    <row r="10" spans="1:30" x14ac:dyDescent="0.3">
      <c r="A10" s="1">
        <v>109</v>
      </c>
      <c r="B10" s="4" t="s">
        <v>22</v>
      </c>
      <c r="C10" s="4" t="s">
        <v>7</v>
      </c>
      <c r="D10" s="4" t="s">
        <v>15</v>
      </c>
      <c r="E10" s="1">
        <v>47000</v>
      </c>
      <c r="F10" s="1">
        <v>3</v>
      </c>
    </row>
    <row r="11" spans="1:30" x14ac:dyDescent="0.3">
      <c r="A11" s="1">
        <v>110</v>
      </c>
      <c r="B11" s="4" t="s">
        <v>23</v>
      </c>
      <c r="C11" s="4" t="s">
        <v>21</v>
      </c>
      <c r="D11" s="4" t="s">
        <v>18</v>
      </c>
      <c r="E11" s="1">
        <v>53000</v>
      </c>
      <c r="F11" s="1">
        <v>5</v>
      </c>
    </row>
    <row r="14" spans="1:30" x14ac:dyDescent="0.3">
      <c r="A14" t="s">
        <v>24</v>
      </c>
      <c r="B14" s="4" t="s">
        <v>25</v>
      </c>
      <c r="C14" s="4" t="s">
        <v>26</v>
      </c>
      <c r="D14" s="4" t="s">
        <v>27</v>
      </c>
      <c r="E14" s="1">
        <v>1</v>
      </c>
      <c r="F14" t="s">
        <v>28</v>
      </c>
      <c r="G14" cm="1">
        <f t="array" ref="G14:L17">_xlfn._xlws.FILTER(A2:F11,C2:C11="IT")</f>
        <v>101</v>
      </c>
      <c r="H14" t="str">
        <v>Amit</v>
      </c>
      <c r="I14" t="str">
        <v>IT</v>
      </c>
      <c r="J14" t="str">
        <v>Delhi</v>
      </c>
      <c r="K14">
        <v>45000</v>
      </c>
      <c r="L14">
        <v>2</v>
      </c>
      <c r="N14">
        <v>3</v>
      </c>
      <c r="O14" t="s">
        <v>30</v>
      </c>
      <c r="P14" cm="1">
        <f t="array" ref="P14:U16">_xlfn._xlws.FILTER(data_data,Salary&gt;50000)</f>
        <v>103</v>
      </c>
      <c r="Q14" t="str">
        <v>Ravi</v>
      </c>
      <c r="R14" t="str">
        <v>IT</v>
      </c>
      <c r="S14" t="str">
        <v>Delhi</v>
      </c>
      <c r="T14">
        <v>55000</v>
      </c>
      <c r="U14">
        <v>4</v>
      </c>
      <c r="W14">
        <v>5</v>
      </c>
      <c r="X14" t="s">
        <v>32</v>
      </c>
      <c r="Y14" cm="1">
        <f t="array" ref="Y14:AD15">_xlfn._xlws.FILTER(data_data,Department="Finance")</f>
        <v>108</v>
      </c>
      <c r="Z14" t="str">
        <v>Pooja</v>
      </c>
      <c r="AA14" t="str">
        <v>Finance</v>
      </c>
      <c r="AB14" t="str">
        <v>Delhi</v>
      </c>
      <c r="AC14">
        <v>50000</v>
      </c>
      <c r="AD14">
        <v>4</v>
      </c>
    </row>
    <row r="15" spans="1:30" x14ac:dyDescent="0.3">
      <c r="G15">
        <v>103</v>
      </c>
      <c r="H15" t="str">
        <v>Ravi</v>
      </c>
      <c r="I15" t="str">
        <v>IT</v>
      </c>
      <c r="J15" t="str">
        <v>Delhi</v>
      </c>
      <c r="K15">
        <v>55000</v>
      </c>
      <c r="L15">
        <v>4</v>
      </c>
      <c r="P15">
        <v>106</v>
      </c>
      <c r="Q15" t="str">
        <v>Sonia</v>
      </c>
      <c r="R15" t="str">
        <v>IT</v>
      </c>
      <c r="S15" t="str">
        <v>Pune</v>
      </c>
      <c r="T15">
        <v>60000</v>
      </c>
      <c r="U15">
        <v>5</v>
      </c>
      <c r="Y15">
        <v>110</v>
      </c>
      <c r="Z15" t="str">
        <v>Simran</v>
      </c>
      <c r="AA15" t="str">
        <v>Finance</v>
      </c>
      <c r="AB15" t="str">
        <v>Pune</v>
      </c>
      <c r="AC15">
        <v>53000</v>
      </c>
      <c r="AD15">
        <v>5</v>
      </c>
    </row>
    <row r="16" spans="1:30" x14ac:dyDescent="0.3">
      <c r="G16">
        <v>106</v>
      </c>
      <c r="H16" t="str">
        <v>Sonia</v>
      </c>
      <c r="I16" t="str">
        <v>IT</v>
      </c>
      <c r="J16" t="str">
        <v>Pune</v>
      </c>
      <c r="K16">
        <v>60000</v>
      </c>
      <c r="L16">
        <v>5</v>
      </c>
      <c r="P16">
        <v>110</v>
      </c>
      <c r="Q16" t="str">
        <v>Simran</v>
      </c>
      <c r="R16" t="str">
        <v>Finance</v>
      </c>
      <c r="S16" t="str">
        <v>Pune</v>
      </c>
      <c r="T16">
        <v>53000</v>
      </c>
      <c r="U16">
        <v>5</v>
      </c>
    </row>
    <row r="17" spans="1:30" x14ac:dyDescent="0.3">
      <c r="G17">
        <v>109</v>
      </c>
      <c r="H17" t="str">
        <v>Rahul</v>
      </c>
      <c r="I17" t="str">
        <v>IT</v>
      </c>
      <c r="J17" t="str">
        <v>Mumbai</v>
      </c>
      <c r="K17">
        <v>47000</v>
      </c>
      <c r="L17">
        <v>3</v>
      </c>
    </row>
    <row r="19" spans="1:30" x14ac:dyDescent="0.3">
      <c r="E19">
        <v>2</v>
      </c>
      <c r="F19" t="s">
        <v>29</v>
      </c>
      <c r="G19" cm="1">
        <f t="array" ref="G19:L22">_xlfn._xlws.FILTER(A2:F11,City="Delhi")</f>
        <v>101</v>
      </c>
      <c r="H19" t="str">
        <v>Amit</v>
      </c>
      <c r="I19" t="str">
        <v>IT</v>
      </c>
      <c r="J19" t="str">
        <v>Delhi</v>
      </c>
      <c r="K19">
        <v>45000</v>
      </c>
      <c r="L19">
        <v>2</v>
      </c>
    </row>
    <row r="20" spans="1:30" x14ac:dyDescent="0.3">
      <c r="G20">
        <v>103</v>
      </c>
      <c r="H20" t="str">
        <v>Ravi</v>
      </c>
      <c r="I20" t="str">
        <v>IT</v>
      </c>
      <c r="J20" t="str">
        <v>Delhi</v>
      </c>
      <c r="K20">
        <v>55000</v>
      </c>
      <c r="L20">
        <v>4</v>
      </c>
    </row>
    <row r="21" spans="1:30" x14ac:dyDescent="0.3">
      <c r="G21">
        <v>105</v>
      </c>
      <c r="H21" t="str">
        <v>Karan</v>
      </c>
      <c r="I21" t="str">
        <v>HR</v>
      </c>
      <c r="J21" t="str">
        <v>Delhi</v>
      </c>
      <c r="K21">
        <v>39000</v>
      </c>
      <c r="L21">
        <v>2</v>
      </c>
      <c r="N21">
        <v>4</v>
      </c>
      <c r="O21" t="s">
        <v>31</v>
      </c>
      <c r="P21" cm="1">
        <f t="array" ref="P21:U24">_xlfn._xlws.FILTER(data_data,Experience&gt;3)</f>
        <v>103</v>
      </c>
      <c r="Q21" t="str">
        <v>Ravi</v>
      </c>
      <c r="R21" t="str">
        <v>IT</v>
      </c>
      <c r="S21" t="str">
        <v>Delhi</v>
      </c>
      <c r="T21">
        <v>55000</v>
      </c>
      <c r="U21">
        <v>4</v>
      </c>
    </row>
    <row r="22" spans="1:30" x14ac:dyDescent="0.3">
      <c r="G22">
        <v>108</v>
      </c>
      <c r="H22" t="str">
        <v>Pooja</v>
      </c>
      <c r="I22" t="str">
        <v>Finance</v>
      </c>
      <c r="J22" t="str">
        <v>Delhi</v>
      </c>
      <c r="K22">
        <v>50000</v>
      </c>
      <c r="L22">
        <v>4</v>
      </c>
      <c r="P22">
        <v>106</v>
      </c>
      <c r="Q22" t="str">
        <v>Sonia</v>
      </c>
      <c r="R22" t="str">
        <v>IT</v>
      </c>
      <c r="S22" t="str">
        <v>Pune</v>
      </c>
      <c r="T22">
        <v>60000</v>
      </c>
      <c r="U22">
        <v>5</v>
      </c>
    </row>
    <row r="23" spans="1:30" x14ac:dyDescent="0.3">
      <c r="P23">
        <v>108</v>
      </c>
      <c r="Q23" t="str">
        <v>Pooja</v>
      </c>
      <c r="R23" t="str">
        <v>Finance</v>
      </c>
      <c r="S23" t="str">
        <v>Delhi</v>
      </c>
      <c r="T23">
        <v>50000</v>
      </c>
      <c r="U23">
        <v>4</v>
      </c>
    </row>
    <row r="24" spans="1:30" x14ac:dyDescent="0.3">
      <c r="P24">
        <v>110</v>
      </c>
      <c r="Q24" t="str">
        <v>Simran</v>
      </c>
      <c r="R24" t="str">
        <v>Finance</v>
      </c>
      <c r="S24" t="str">
        <v>Pune</v>
      </c>
      <c r="T24">
        <v>53000</v>
      </c>
      <c r="U24">
        <v>5</v>
      </c>
    </row>
    <row r="28" spans="1:30" x14ac:dyDescent="0.3">
      <c r="A28" t="s">
        <v>33</v>
      </c>
      <c r="B28" t="s">
        <v>34</v>
      </c>
      <c r="C28" t="s">
        <v>35</v>
      </c>
      <c r="D28" t="s">
        <v>27</v>
      </c>
      <c r="E28">
        <v>1</v>
      </c>
      <c r="F28" t="s">
        <v>36</v>
      </c>
      <c r="G28" cm="1">
        <f t="array" ref="G28:L37">_xlfn._xlws.SORT(A2:F11,5,1)</f>
        <v>102</v>
      </c>
      <c r="H28" t="str">
        <v>Neha</v>
      </c>
      <c r="I28" t="str">
        <v>HR</v>
      </c>
      <c r="J28" t="str">
        <v>Jaipur</v>
      </c>
      <c r="K28">
        <v>38000</v>
      </c>
      <c r="L28">
        <v>1</v>
      </c>
      <c r="N28">
        <v>3</v>
      </c>
      <c r="O28" t="s">
        <v>38</v>
      </c>
      <c r="P28" cm="1">
        <f t="array" ref="P28:U37">_xlfn._xlws.SORT(data_data,2,1)</f>
        <v>101</v>
      </c>
      <c r="Q28" t="str">
        <v>Amit</v>
      </c>
      <c r="R28" t="str">
        <v>IT</v>
      </c>
      <c r="S28" t="str">
        <v>Delhi</v>
      </c>
      <c r="T28">
        <v>45000</v>
      </c>
      <c r="U28">
        <v>2</v>
      </c>
      <c r="W28">
        <v>5</v>
      </c>
      <c r="X28" t="s">
        <v>40</v>
      </c>
      <c r="Y28" cm="1">
        <f t="array" ref="Y28:AD37">_xlfn._xlws.SORT(data_data,3,1)</f>
        <v>108</v>
      </c>
      <c r="Z28" t="str">
        <v>Pooja</v>
      </c>
      <c r="AA28" t="str">
        <v>Finance</v>
      </c>
      <c r="AB28" t="str">
        <v>Delhi</v>
      </c>
      <c r="AC28">
        <v>50000</v>
      </c>
      <c r="AD28">
        <v>4</v>
      </c>
    </row>
    <row r="29" spans="1:30" x14ac:dyDescent="0.3">
      <c r="G29">
        <v>105</v>
      </c>
      <c r="H29" t="str">
        <v>Karan</v>
      </c>
      <c r="I29" t="str">
        <v>HR</v>
      </c>
      <c r="J29" t="str">
        <v>Delhi</v>
      </c>
      <c r="K29">
        <v>39000</v>
      </c>
      <c r="L29">
        <v>2</v>
      </c>
      <c r="P29">
        <v>105</v>
      </c>
      <c r="Q29" t="str">
        <v>Karan</v>
      </c>
      <c r="R29" t="str">
        <v>HR</v>
      </c>
      <c r="S29" t="str">
        <v>Delhi</v>
      </c>
      <c r="T29">
        <v>39000</v>
      </c>
      <c r="U29">
        <v>2</v>
      </c>
      <c r="Y29">
        <v>110</v>
      </c>
      <c r="Z29" t="str">
        <v>Simran</v>
      </c>
      <c r="AA29" t="str">
        <v>Finance</v>
      </c>
      <c r="AB29" t="str">
        <v>Pune</v>
      </c>
      <c r="AC29">
        <v>53000</v>
      </c>
      <c r="AD29">
        <v>5</v>
      </c>
    </row>
    <row r="30" spans="1:30" x14ac:dyDescent="0.3">
      <c r="G30">
        <v>107</v>
      </c>
      <c r="H30" t="str">
        <v>Mohit</v>
      </c>
      <c r="I30" t="str">
        <v>Sales</v>
      </c>
      <c r="J30" t="str">
        <v>Jaipur</v>
      </c>
      <c r="K30">
        <v>41000</v>
      </c>
      <c r="L30">
        <v>2</v>
      </c>
      <c r="P30">
        <v>107</v>
      </c>
      <c r="Q30" t="str">
        <v>Mohit</v>
      </c>
      <c r="R30" t="str">
        <v>Sales</v>
      </c>
      <c r="S30" t="str">
        <v>Jaipur</v>
      </c>
      <c r="T30">
        <v>41000</v>
      </c>
      <c r="U30">
        <v>2</v>
      </c>
      <c r="Y30">
        <v>102</v>
      </c>
      <c r="Z30" t="str">
        <v>Neha</v>
      </c>
      <c r="AA30" t="str">
        <v>HR</v>
      </c>
      <c r="AB30" t="str">
        <v>Jaipur</v>
      </c>
      <c r="AC30">
        <v>38000</v>
      </c>
      <c r="AD30">
        <v>1</v>
      </c>
    </row>
    <row r="31" spans="1:30" x14ac:dyDescent="0.3">
      <c r="G31">
        <v>104</v>
      </c>
      <c r="H31" t="str">
        <v>Priya</v>
      </c>
      <c r="I31" t="str">
        <v>Sales</v>
      </c>
      <c r="J31" t="str">
        <v>Mumbai</v>
      </c>
      <c r="K31">
        <v>42000</v>
      </c>
      <c r="L31">
        <v>3</v>
      </c>
      <c r="P31">
        <v>102</v>
      </c>
      <c r="Q31" t="str">
        <v>Neha</v>
      </c>
      <c r="R31" t="str">
        <v>HR</v>
      </c>
      <c r="S31" t="str">
        <v>Jaipur</v>
      </c>
      <c r="T31">
        <v>38000</v>
      </c>
      <c r="U31">
        <v>1</v>
      </c>
      <c r="Y31">
        <v>105</v>
      </c>
      <c r="Z31" t="str">
        <v>Karan</v>
      </c>
      <c r="AA31" t="str">
        <v>HR</v>
      </c>
      <c r="AB31" t="str">
        <v>Delhi</v>
      </c>
      <c r="AC31">
        <v>39000</v>
      </c>
      <c r="AD31">
        <v>2</v>
      </c>
    </row>
    <row r="32" spans="1:30" x14ac:dyDescent="0.3">
      <c r="G32">
        <v>101</v>
      </c>
      <c r="H32" t="str">
        <v>Amit</v>
      </c>
      <c r="I32" t="str">
        <v>IT</v>
      </c>
      <c r="J32" t="str">
        <v>Delhi</v>
      </c>
      <c r="K32">
        <v>45000</v>
      </c>
      <c r="L32">
        <v>2</v>
      </c>
      <c r="P32">
        <v>108</v>
      </c>
      <c r="Q32" t="str">
        <v>Pooja</v>
      </c>
      <c r="R32" t="str">
        <v>Finance</v>
      </c>
      <c r="S32" t="str">
        <v>Delhi</v>
      </c>
      <c r="T32">
        <v>50000</v>
      </c>
      <c r="U32">
        <v>4</v>
      </c>
      <c r="Y32">
        <v>101</v>
      </c>
      <c r="Z32" t="str">
        <v>Amit</v>
      </c>
      <c r="AA32" t="str">
        <v>IT</v>
      </c>
      <c r="AB32" t="str">
        <v>Delhi</v>
      </c>
      <c r="AC32">
        <v>45000</v>
      </c>
      <c r="AD32">
        <v>2</v>
      </c>
    </row>
    <row r="33" spans="5:30" x14ac:dyDescent="0.3">
      <c r="G33">
        <v>109</v>
      </c>
      <c r="H33" t="str">
        <v>Rahul</v>
      </c>
      <c r="I33" t="str">
        <v>IT</v>
      </c>
      <c r="J33" t="str">
        <v>Mumbai</v>
      </c>
      <c r="K33">
        <v>47000</v>
      </c>
      <c r="L33">
        <v>3</v>
      </c>
      <c r="P33">
        <v>104</v>
      </c>
      <c r="Q33" t="str">
        <v>Priya</v>
      </c>
      <c r="R33" t="str">
        <v>Sales</v>
      </c>
      <c r="S33" t="str">
        <v>Mumbai</v>
      </c>
      <c r="T33">
        <v>42000</v>
      </c>
      <c r="U33">
        <v>3</v>
      </c>
      <c r="Y33">
        <v>103</v>
      </c>
      <c r="Z33" t="str">
        <v>Ravi</v>
      </c>
      <c r="AA33" t="str">
        <v>IT</v>
      </c>
      <c r="AB33" t="str">
        <v>Delhi</v>
      </c>
      <c r="AC33">
        <v>55000</v>
      </c>
      <c r="AD33">
        <v>4</v>
      </c>
    </row>
    <row r="34" spans="5:30" x14ac:dyDescent="0.3">
      <c r="G34">
        <v>108</v>
      </c>
      <c r="H34" t="str">
        <v>Pooja</v>
      </c>
      <c r="I34" t="str">
        <v>Finance</v>
      </c>
      <c r="J34" t="str">
        <v>Delhi</v>
      </c>
      <c r="K34">
        <v>50000</v>
      </c>
      <c r="L34">
        <v>4</v>
      </c>
      <c r="P34">
        <v>109</v>
      </c>
      <c r="Q34" t="str">
        <v>Rahul</v>
      </c>
      <c r="R34" t="str">
        <v>IT</v>
      </c>
      <c r="S34" t="str">
        <v>Mumbai</v>
      </c>
      <c r="T34">
        <v>47000</v>
      </c>
      <c r="U34">
        <v>3</v>
      </c>
      <c r="Y34">
        <v>106</v>
      </c>
      <c r="Z34" t="str">
        <v>Sonia</v>
      </c>
      <c r="AA34" t="str">
        <v>IT</v>
      </c>
      <c r="AB34" t="str">
        <v>Pune</v>
      </c>
      <c r="AC34">
        <v>60000</v>
      </c>
      <c r="AD34">
        <v>5</v>
      </c>
    </row>
    <row r="35" spans="5:30" x14ac:dyDescent="0.3">
      <c r="G35">
        <v>110</v>
      </c>
      <c r="H35" t="str">
        <v>Simran</v>
      </c>
      <c r="I35" t="str">
        <v>Finance</v>
      </c>
      <c r="J35" t="str">
        <v>Pune</v>
      </c>
      <c r="K35">
        <v>53000</v>
      </c>
      <c r="L35">
        <v>5</v>
      </c>
      <c r="P35">
        <v>103</v>
      </c>
      <c r="Q35" t="str">
        <v>Ravi</v>
      </c>
      <c r="R35" t="str">
        <v>IT</v>
      </c>
      <c r="S35" t="str">
        <v>Delhi</v>
      </c>
      <c r="T35">
        <v>55000</v>
      </c>
      <c r="U35">
        <v>4</v>
      </c>
      <c r="Y35">
        <v>109</v>
      </c>
      <c r="Z35" t="str">
        <v>Rahul</v>
      </c>
      <c r="AA35" t="str">
        <v>IT</v>
      </c>
      <c r="AB35" t="str">
        <v>Mumbai</v>
      </c>
      <c r="AC35">
        <v>47000</v>
      </c>
      <c r="AD35">
        <v>3</v>
      </c>
    </row>
    <row r="36" spans="5:30" x14ac:dyDescent="0.3">
      <c r="G36">
        <v>103</v>
      </c>
      <c r="H36" t="str">
        <v>Ravi</v>
      </c>
      <c r="I36" t="str">
        <v>IT</v>
      </c>
      <c r="J36" t="str">
        <v>Delhi</v>
      </c>
      <c r="K36">
        <v>55000</v>
      </c>
      <c r="L36">
        <v>4</v>
      </c>
      <c r="P36">
        <v>110</v>
      </c>
      <c r="Q36" t="str">
        <v>Simran</v>
      </c>
      <c r="R36" t="str">
        <v>Finance</v>
      </c>
      <c r="S36" t="str">
        <v>Pune</v>
      </c>
      <c r="T36">
        <v>53000</v>
      </c>
      <c r="U36">
        <v>5</v>
      </c>
      <c r="Y36">
        <v>104</v>
      </c>
      <c r="Z36" t="str">
        <v>Priya</v>
      </c>
      <c r="AA36" t="str">
        <v>Sales</v>
      </c>
      <c r="AB36" t="str">
        <v>Mumbai</v>
      </c>
      <c r="AC36">
        <v>42000</v>
      </c>
      <c r="AD36">
        <v>3</v>
      </c>
    </row>
    <row r="37" spans="5:30" x14ac:dyDescent="0.3">
      <c r="G37">
        <v>106</v>
      </c>
      <c r="H37" t="str">
        <v>Sonia</v>
      </c>
      <c r="I37" t="str">
        <v>IT</v>
      </c>
      <c r="J37" t="str">
        <v>Pune</v>
      </c>
      <c r="K37">
        <v>60000</v>
      </c>
      <c r="L37">
        <v>5</v>
      </c>
      <c r="P37">
        <v>106</v>
      </c>
      <c r="Q37" t="str">
        <v>Sonia</v>
      </c>
      <c r="R37" t="str">
        <v>IT</v>
      </c>
      <c r="S37" t="str">
        <v>Pune</v>
      </c>
      <c r="T37">
        <v>60000</v>
      </c>
      <c r="U37">
        <v>5</v>
      </c>
      <c r="Y37">
        <v>107</v>
      </c>
      <c r="Z37" t="str">
        <v>Mohit</v>
      </c>
      <c r="AA37" t="str">
        <v>Sales</v>
      </c>
      <c r="AB37" t="str">
        <v>Jaipur</v>
      </c>
      <c r="AC37">
        <v>41000</v>
      </c>
      <c r="AD37">
        <v>2</v>
      </c>
    </row>
    <row r="39" spans="5:30" x14ac:dyDescent="0.3">
      <c r="E39">
        <v>2</v>
      </c>
      <c r="F39" t="s">
        <v>37</v>
      </c>
      <c r="G39" cm="1">
        <f t="array" ref="G39:L48">_xlfn._xlws.SORT(data_data,5,-1)</f>
        <v>106</v>
      </c>
      <c r="H39" t="str">
        <v>Sonia</v>
      </c>
      <c r="I39" t="str">
        <v>IT</v>
      </c>
      <c r="J39" t="str">
        <v>Pune</v>
      </c>
      <c r="K39">
        <v>60000</v>
      </c>
      <c r="L39">
        <v>5</v>
      </c>
      <c r="N39">
        <v>4</v>
      </c>
      <c r="O39" t="s">
        <v>39</v>
      </c>
      <c r="P39" cm="1">
        <f t="array" ref="P39:U48">_xlfn._xlws.SORT(data_data,6,-1)</f>
        <v>106</v>
      </c>
      <c r="Q39" t="str">
        <v>Sonia</v>
      </c>
      <c r="R39" t="str">
        <v>IT</v>
      </c>
      <c r="S39" t="str">
        <v>Pune</v>
      </c>
      <c r="T39">
        <v>60000</v>
      </c>
      <c r="U39">
        <v>5</v>
      </c>
    </row>
    <row r="40" spans="5:30" x14ac:dyDescent="0.3">
      <c r="G40">
        <v>103</v>
      </c>
      <c r="H40" t="str">
        <v>Ravi</v>
      </c>
      <c r="I40" t="str">
        <v>IT</v>
      </c>
      <c r="J40" t="str">
        <v>Delhi</v>
      </c>
      <c r="K40">
        <v>55000</v>
      </c>
      <c r="L40">
        <v>4</v>
      </c>
      <c r="P40">
        <v>110</v>
      </c>
      <c r="Q40" t="str">
        <v>Simran</v>
      </c>
      <c r="R40" t="str">
        <v>Finance</v>
      </c>
      <c r="S40" t="str">
        <v>Pune</v>
      </c>
      <c r="T40">
        <v>53000</v>
      </c>
      <c r="U40">
        <v>5</v>
      </c>
    </row>
    <row r="41" spans="5:30" x14ac:dyDescent="0.3">
      <c r="G41">
        <v>110</v>
      </c>
      <c r="H41" t="str">
        <v>Simran</v>
      </c>
      <c r="I41" t="str">
        <v>Finance</v>
      </c>
      <c r="J41" t="str">
        <v>Pune</v>
      </c>
      <c r="K41">
        <v>53000</v>
      </c>
      <c r="L41">
        <v>5</v>
      </c>
      <c r="P41">
        <v>103</v>
      </c>
      <c r="Q41" t="str">
        <v>Ravi</v>
      </c>
      <c r="R41" t="str">
        <v>IT</v>
      </c>
      <c r="S41" t="str">
        <v>Delhi</v>
      </c>
      <c r="T41">
        <v>55000</v>
      </c>
      <c r="U41">
        <v>4</v>
      </c>
    </row>
    <row r="42" spans="5:30" x14ac:dyDescent="0.3">
      <c r="G42">
        <v>108</v>
      </c>
      <c r="H42" t="str">
        <v>Pooja</v>
      </c>
      <c r="I42" t="str">
        <v>Finance</v>
      </c>
      <c r="J42" t="str">
        <v>Delhi</v>
      </c>
      <c r="K42">
        <v>50000</v>
      </c>
      <c r="L42">
        <v>4</v>
      </c>
      <c r="P42">
        <v>108</v>
      </c>
      <c r="Q42" t="str">
        <v>Pooja</v>
      </c>
      <c r="R42" t="str">
        <v>Finance</v>
      </c>
      <c r="S42" t="str">
        <v>Delhi</v>
      </c>
      <c r="T42">
        <v>50000</v>
      </c>
      <c r="U42">
        <v>4</v>
      </c>
    </row>
    <row r="43" spans="5:30" x14ac:dyDescent="0.3">
      <c r="G43">
        <v>109</v>
      </c>
      <c r="H43" t="str">
        <v>Rahul</v>
      </c>
      <c r="I43" t="str">
        <v>IT</v>
      </c>
      <c r="J43" t="str">
        <v>Mumbai</v>
      </c>
      <c r="K43">
        <v>47000</v>
      </c>
      <c r="L43">
        <v>3</v>
      </c>
      <c r="P43">
        <v>104</v>
      </c>
      <c r="Q43" t="str">
        <v>Priya</v>
      </c>
      <c r="R43" t="str">
        <v>Sales</v>
      </c>
      <c r="S43" t="str">
        <v>Mumbai</v>
      </c>
      <c r="T43">
        <v>42000</v>
      </c>
      <c r="U43">
        <v>3</v>
      </c>
    </row>
    <row r="44" spans="5:30" x14ac:dyDescent="0.3">
      <c r="G44">
        <v>101</v>
      </c>
      <c r="H44" t="str">
        <v>Amit</v>
      </c>
      <c r="I44" t="str">
        <v>IT</v>
      </c>
      <c r="J44" t="str">
        <v>Delhi</v>
      </c>
      <c r="K44">
        <v>45000</v>
      </c>
      <c r="L44">
        <v>2</v>
      </c>
      <c r="P44">
        <v>109</v>
      </c>
      <c r="Q44" t="str">
        <v>Rahul</v>
      </c>
      <c r="R44" t="str">
        <v>IT</v>
      </c>
      <c r="S44" t="str">
        <v>Mumbai</v>
      </c>
      <c r="T44">
        <v>47000</v>
      </c>
      <c r="U44">
        <v>3</v>
      </c>
    </row>
    <row r="45" spans="5:30" x14ac:dyDescent="0.3">
      <c r="G45">
        <v>104</v>
      </c>
      <c r="H45" t="str">
        <v>Priya</v>
      </c>
      <c r="I45" t="str">
        <v>Sales</v>
      </c>
      <c r="J45" t="str">
        <v>Mumbai</v>
      </c>
      <c r="K45">
        <v>42000</v>
      </c>
      <c r="L45">
        <v>3</v>
      </c>
      <c r="P45">
        <v>101</v>
      </c>
      <c r="Q45" t="str">
        <v>Amit</v>
      </c>
      <c r="R45" t="str">
        <v>IT</v>
      </c>
      <c r="S45" t="str">
        <v>Delhi</v>
      </c>
      <c r="T45">
        <v>45000</v>
      </c>
      <c r="U45">
        <v>2</v>
      </c>
    </row>
    <row r="46" spans="5:30" x14ac:dyDescent="0.3">
      <c r="G46">
        <v>107</v>
      </c>
      <c r="H46" t="str">
        <v>Mohit</v>
      </c>
      <c r="I46" t="str">
        <v>Sales</v>
      </c>
      <c r="J46" t="str">
        <v>Jaipur</v>
      </c>
      <c r="K46">
        <v>41000</v>
      </c>
      <c r="L46">
        <v>2</v>
      </c>
      <c r="P46">
        <v>105</v>
      </c>
      <c r="Q46" t="str">
        <v>Karan</v>
      </c>
      <c r="R46" t="str">
        <v>HR</v>
      </c>
      <c r="S46" t="str">
        <v>Delhi</v>
      </c>
      <c r="T46">
        <v>39000</v>
      </c>
      <c r="U46">
        <v>2</v>
      </c>
    </row>
    <row r="47" spans="5:30" x14ac:dyDescent="0.3">
      <c r="G47">
        <v>105</v>
      </c>
      <c r="H47" t="str">
        <v>Karan</v>
      </c>
      <c r="I47" t="str">
        <v>HR</v>
      </c>
      <c r="J47" t="str">
        <v>Delhi</v>
      </c>
      <c r="K47">
        <v>39000</v>
      </c>
      <c r="L47">
        <v>2</v>
      </c>
      <c r="P47">
        <v>107</v>
      </c>
      <c r="Q47" t="str">
        <v>Mohit</v>
      </c>
      <c r="R47" t="str">
        <v>Sales</v>
      </c>
      <c r="S47" t="str">
        <v>Jaipur</v>
      </c>
      <c r="T47">
        <v>41000</v>
      </c>
      <c r="U47">
        <v>2</v>
      </c>
    </row>
    <row r="48" spans="5:30" x14ac:dyDescent="0.3">
      <c r="G48">
        <v>102</v>
      </c>
      <c r="H48" t="str">
        <v>Neha</v>
      </c>
      <c r="I48" t="str">
        <v>HR</v>
      </c>
      <c r="J48" t="str">
        <v>Jaipur</v>
      </c>
      <c r="K48">
        <v>38000</v>
      </c>
      <c r="L48">
        <v>1</v>
      </c>
      <c r="P48">
        <v>102</v>
      </c>
      <c r="Q48" t="str">
        <v>Neha</v>
      </c>
      <c r="R48" t="str">
        <v>HR</v>
      </c>
      <c r="S48" t="str">
        <v>Jaipur</v>
      </c>
      <c r="T48">
        <v>38000</v>
      </c>
      <c r="U48">
        <v>1</v>
      </c>
    </row>
    <row r="52" spans="1:21" x14ac:dyDescent="0.3">
      <c r="A52" t="s">
        <v>24</v>
      </c>
      <c r="B52" t="s">
        <v>34</v>
      </c>
      <c r="C52" t="s">
        <v>41</v>
      </c>
      <c r="D52" t="s">
        <v>27</v>
      </c>
      <c r="E52">
        <v>1</v>
      </c>
      <c r="F52" t="s">
        <v>43</v>
      </c>
      <c r="G52" cm="1">
        <f t="array" ref="G52:L61">_xlfn.SORTBY(A2:F11,E2:E11,1)</f>
        <v>102</v>
      </c>
      <c r="H52" t="str">
        <v>Neha</v>
      </c>
      <c r="I52" t="str">
        <v>HR</v>
      </c>
      <c r="J52" t="str">
        <v>Jaipur</v>
      </c>
      <c r="K52">
        <v>38000</v>
      </c>
      <c r="L52">
        <v>1</v>
      </c>
      <c r="N52">
        <v>3</v>
      </c>
      <c r="O52" t="s">
        <v>44</v>
      </c>
      <c r="P52" cm="1">
        <f t="array" ref="P52:U61">_xlfn.SORTBY(data_data,Name,1)</f>
        <v>101</v>
      </c>
      <c r="Q52" t="str">
        <v>Amit</v>
      </c>
      <c r="R52" t="str">
        <v>IT</v>
      </c>
      <c r="S52" t="str">
        <v>Delhi</v>
      </c>
      <c r="T52">
        <v>45000</v>
      </c>
      <c r="U52">
        <v>2</v>
      </c>
    </row>
    <row r="53" spans="1:21" x14ac:dyDescent="0.3">
      <c r="G53">
        <v>105</v>
      </c>
      <c r="H53" t="str">
        <v>Karan</v>
      </c>
      <c r="I53" t="str">
        <v>HR</v>
      </c>
      <c r="J53" t="str">
        <v>Delhi</v>
      </c>
      <c r="K53">
        <v>39000</v>
      </c>
      <c r="L53">
        <v>2</v>
      </c>
      <c r="P53">
        <v>105</v>
      </c>
      <c r="Q53" t="str">
        <v>Karan</v>
      </c>
      <c r="R53" t="str">
        <v>HR</v>
      </c>
      <c r="S53" t="str">
        <v>Delhi</v>
      </c>
      <c r="T53">
        <v>39000</v>
      </c>
      <c r="U53">
        <v>2</v>
      </c>
    </row>
    <row r="54" spans="1:21" x14ac:dyDescent="0.3">
      <c r="G54">
        <v>107</v>
      </c>
      <c r="H54" t="str">
        <v>Mohit</v>
      </c>
      <c r="I54" t="str">
        <v>Sales</v>
      </c>
      <c r="J54" t="str">
        <v>Jaipur</v>
      </c>
      <c r="K54">
        <v>41000</v>
      </c>
      <c r="L54">
        <v>2</v>
      </c>
      <c r="P54">
        <v>107</v>
      </c>
      <c r="Q54" t="str">
        <v>Mohit</v>
      </c>
      <c r="R54" t="str">
        <v>Sales</v>
      </c>
      <c r="S54" t="str">
        <v>Jaipur</v>
      </c>
      <c r="T54">
        <v>41000</v>
      </c>
      <c r="U54">
        <v>2</v>
      </c>
    </row>
    <row r="55" spans="1:21" x14ac:dyDescent="0.3">
      <c r="G55">
        <v>104</v>
      </c>
      <c r="H55" t="str">
        <v>Priya</v>
      </c>
      <c r="I55" t="str">
        <v>Sales</v>
      </c>
      <c r="J55" t="str">
        <v>Mumbai</v>
      </c>
      <c r="K55">
        <v>42000</v>
      </c>
      <c r="L55">
        <v>3</v>
      </c>
      <c r="P55">
        <v>102</v>
      </c>
      <c r="Q55" t="str">
        <v>Neha</v>
      </c>
      <c r="R55" t="str">
        <v>HR</v>
      </c>
      <c r="S55" t="str">
        <v>Jaipur</v>
      </c>
      <c r="T55">
        <v>38000</v>
      </c>
      <c r="U55">
        <v>1</v>
      </c>
    </row>
    <row r="56" spans="1:21" x14ac:dyDescent="0.3">
      <c r="G56">
        <v>101</v>
      </c>
      <c r="H56" t="str">
        <v>Amit</v>
      </c>
      <c r="I56" t="str">
        <v>IT</v>
      </c>
      <c r="J56" t="str">
        <v>Delhi</v>
      </c>
      <c r="K56">
        <v>45000</v>
      </c>
      <c r="L56">
        <v>2</v>
      </c>
      <c r="P56">
        <v>108</v>
      </c>
      <c r="Q56" t="str">
        <v>Pooja</v>
      </c>
      <c r="R56" t="str">
        <v>Finance</v>
      </c>
      <c r="S56" t="str">
        <v>Delhi</v>
      </c>
      <c r="T56">
        <v>50000</v>
      </c>
      <c r="U56">
        <v>4</v>
      </c>
    </row>
    <row r="57" spans="1:21" x14ac:dyDescent="0.3">
      <c r="G57">
        <v>109</v>
      </c>
      <c r="H57" t="str">
        <v>Rahul</v>
      </c>
      <c r="I57" t="str">
        <v>IT</v>
      </c>
      <c r="J57" t="str">
        <v>Mumbai</v>
      </c>
      <c r="K57">
        <v>47000</v>
      </c>
      <c r="L57">
        <v>3</v>
      </c>
      <c r="P57">
        <v>104</v>
      </c>
      <c r="Q57" t="str">
        <v>Priya</v>
      </c>
      <c r="R57" t="str">
        <v>Sales</v>
      </c>
      <c r="S57" t="str">
        <v>Mumbai</v>
      </c>
      <c r="T57">
        <v>42000</v>
      </c>
      <c r="U57">
        <v>3</v>
      </c>
    </row>
    <row r="58" spans="1:21" x14ac:dyDescent="0.3">
      <c r="G58">
        <v>108</v>
      </c>
      <c r="H58" t="str">
        <v>Pooja</v>
      </c>
      <c r="I58" t="str">
        <v>Finance</v>
      </c>
      <c r="J58" t="str">
        <v>Delhi</v>
      </c>
      <c r="K58">
        <v>50000</v>
      </c>
      <c r="L58">
        <v>4</v>
      </c>
      <c r="P58">
        <v>109</v>
      </c>
      <c r="Q58" t="str">
        <v>Rahul</v>
      </c>
      <c r="R58" t="str">
        <v>IT</v>
      </c>
      <c r="S58" t="str">
        <v>Mumbai</v>
      </c>
      <c r="T58">
        <v>47000</v>
      </c>
      <c r="U58">
        <v>3</v>
      </c>
    </row>
    <row r="59" spans="1:21" x14ac:dyDescent="0.3">
      <c r="G59">
        <v>110</v>
      </c>
      <c r="H59" t="str">
        <v>Simran</v>
      </c>
      <c r="I59" t="str">
        <v>Finance</v>
      </c>
      <c r="J59" t="str">
        <v>Pune</v>
      </c>
      <c r="K59">
        <v>53000</v>
      </c>
      <c r="L59">
        <v>5</v>
      </c>
      <c r="P59">
        <v>103</v>
      </c>
      <c r="Q59" t="str">
        <v>Ravi</v>
      </c>
      <c r="R59" t="str">
        <v>IT</v>
      </c>
      <c r="S59" t="str">
        <v>Delhi</v>
      </c>
      <c r="T59">
        <v>55000</v>
      </c>
      <c r="U59">
        <v>4</v>
      </c>
    </row>
    <row r="60" spans="1:21" x14ac:dyDescent="0.3">
      <c r="G60">
        <v>103</v>
      </c>
      <c r="H60" t="str">
        <v>Ravi</v>
      </c>
      <c r="I60" t="str">
        <v>IT</v>
      </c>
      <c r="J60" t="str">
        <v>Delhi</v>
      </c>
      <c r="K60">
        <v>55000</v>
      </c>
      <c r="L60">
        <v>4</v>
      </c>
      <c r="P60">
        <v>110</v>
      </c>
      <c r="Q60" t="str">
        <v>Simran</v>
      </c>
      <c r="R60" t="str">
        <v>Finance</v>
      </c>
      <c r="S60" t="str">
        <v>Pune</v>
      </c>
      <c r="T60">
        <v>53000</v>
      </c>
      <c r="U60">
        <v>5</v>
      </c>
    </row>
    <row r="61" spans="1:21" x14ac:dyDescent="0.3">
      <c r="G61">
        <v>106</v>
      </c>
      <c r="H61" t="str">
        <v>Sonia</v>
      </c>
      <c r="I61" t="str">
        <v>IT</v>
      </c>
      <c r="J61" t="str">
        <v>Pune</v>
      </c>
      <c r="K61">
        <v>60000</v>
      </c>
      <c r="L61">
        <v>5</v>
      </c>
      <c r="P61">
        <v>106</v>
      </c>
      <c r="Q61" t="str">
        <v>Sonia</v>
      </c>
      <c r="R61" t="str">
        <v>IT</v>
      </c>
      <c r="S61" t="str">
        <v>Pune</v>
      </c>
      <c r="T61">
        <v>60000</v>
      </c>
      <c r="U61">
        <v>5</v>
      </c>
    </row>
    <row r="63" spans="1:21" x14ac:dyDescent="0.3">
      <c r="N63">
        <v>4</v>
      </c>
      <c r="O63" t="s">
        <v>45</v>
      </c>
      <c r="P63" cm="1">
        <f t="array" ref="P63:U72">_xlfn.SORTBY(data_data,Department,1)</f>
        <v>108</v>
      </c>
      <c r="Q63" t="str">
        <v>Pooja</v>
      </c>
      <c r="R63" t="str">
        <v>Finance</v>
      </c>
      <c r="S63" t="str">
        <v>Delhi</v>
      </c>
      <c r="T63">
        <v>50000</v>
      </c>
      <c r="U63">
        <v>4</v>
      </c>
    </row>
    <row r="64" spans="1:21" x14ac:dyDescent="0.3">
      <c r="E64">
        <v>2</v>
      </c>
      <c r="F64" t="s">
        <v>42</v>
      </c>
      <c r="G64" cm="1">
        <f t="array" ref="G64:L73">_xlfn.SORTBY(data_data,Experience,-1)</f>
        <v>106</v>
      </c>
      <c r="H64" t="str">
        <v>Sonia</v>
      </c>
      <c r="I64" t="str">
        <v>IT</v>
      </c>
      <c r="J64" t="str">
        <v>Pune</v>
      </c>
      <c r="K64">
        <v>60000</v>
      </c>
      <c r="L64">
        <v>5</v>
      </c>
      <c r="P64">
        <v>110</v>
      </c>
      <c r="Q64" t="str">
        <v>Simran</v>
      </c>
      <c r="R64" t="str">
        <v>Finance</v>
      </c>
      <c r="S64" t="str">
        <v>Pune</v>
      </c>
      <c r="T64">
        <v>53000</v>
      </c>
      <c r="U64">
        <v>5</v>
      </c>
    </row>
    <row r="65" spans="1:25" x14ac:dyDescent="0.3">
      <c r="G65">
        <v>110</v>
      </c>
      <c r="H65" t="str">
        <v>Simran</v>
      </c>
      <c r="I65" t="str">
        <v>Finance</v>
      </c>
      <c r="J65" t="str">
        <v>Pune</v>
      </c>
      <c r="K65">
        <v>53000</v>
      </c>
      <c r="L65">
        <v>5</v>
      </c>
      <c r="P65">
        <v>102</v>
      </c>
      <c r="Q65" t="str">
        <v>Neha</v>
      </c>
      <c r="R65" t="str">
        <v>HR</v>
      </c>
      <c r="S65" t="str">
        <v>Jaipur</v>
      </c>
      <c r="T65">
        <v>38000</v>
      </c>
      <c r="U65">
        <v>1</v>
      </c>
    </row>
    <row r="66" spans="1:25" x14ac:dyDescent="0.3">
      <c r="G66">
        <v>103</v>
      </c>
      <c r="H66" t="str">
        <v>Ravi</v>
      </c>
      <c r="I66" t="str">
        <v>IT</v>
      </c>
      <c r="J66" t="str">
        <v>Delhi</v>
      </c>
      <c r="K66">
        <v>55000</v>
      </c>
      <c r="L66">
        <v>4</v>
      </c>
      <c r="P66">
        <v>105</v>
      </c>
      <c r="Q66" t="str">
        <v>Karan</v>
      </c>
      <c r="R66" t="str">
        <v>HR</v>
      </c>
      <c r="S66" t="str">
        <v>Delhi</v>
      </c>
      <c r="T66">
        <v>39000</v>
      </c>
      <c r="U66">
        <v>2</v>
      </c>
    </row>
    <row r="67" spans="1:25" x14ac:dyDescent="0.3">
      <c r="G67">
        <v>108</v>
      </c>
      <c r="H67" t="str">
        <v>Pooja</v>
      </c>
      <c r="I67" t="str">
        <v>Finance</v>
      </c>
      <c r="J67" t="str">
        <v>Delhi</v>
      </c>
      <c r="K67">
        <v>50000</v>
      </c>
      <c r="L67">
        <v>4</v>
      </c>
      <c r="P67">
        <v>101</v>
      </c>
      <c r="Q67" t="str">
        <v>Amit</v>
      </c>
      <c r="R67" t="str">
        <v>IT</v>
      </c>
      <c r="S67" t="str">
        <v>Delhi</v>
      </c>
      <c r="T67">
        <v>45000</v>
      </c>
      <c r="U67">
        <v>2</v>
      </c>
    </row>
    <row r="68" spans="1:25" x14ac:dyDescent="0.3">
      <c r="G68">
        <v>104</v>
      </c>
      <c r="H68" t="str">
        <v>Priya</v>
      </c>
      <c r="I68" t="str">
        <v>Sales</v>
      </c>
      <c r="J68" t="str">
        <v>Mumbai</v>
      </c>
      <c r="K68">
        <v>42000</v>
      </c>
      <c r="L68">
        <v>3</v>
      </c>
      <c r="P68">
        <v>103</v>
      </c>
      <c r="Q68" t="str">
        <v>Ravi</v>
      </c>
      <c r="R68" t="str">
        <v>IT</v>
      </c>
      <c r="S68" t="str">
        <v>Delhi</v>
      </c>
      <c r="T68">
        <v>55000</v>
      </c>
      <c r="U68">
        <v>4</v>
      </c>
    </row>
    <row r="69" spans="1:25" x14ac:dyDescent="0.3">
      <c r="G69">
        <v>109</v>
      </c>
      <c r="H69" t="str">
        <v>Rahul</v>
      </c>
      <c r="I69" t="str">
        <v>IT</v>
      </c>
      <c r="J69" t="str">
        <v>Mumbai</v>
      </c>
      <c r="K69">
        <v>47000</v>
      </c>
      <c r="L69">
        <v>3</v>
      </c>
      <c r="P69">
        <v>106</v>
      </c>
      <c r="Q69" t="str">
        <v>Sonia</v>
      </c>
      <c r="R69" t="str">
        <v>IT</v>
      </c>
      <c r="S69" t="str">
        <v>Pune</v>
      </c>
      <c r="T69">
        <v>60000</v>
      </c>
      <c r="U69">
        <v>5</v>
      </c>
    </row>
    <row r="70" spans="1:25" x14ac:dyDescent="0.3">
      <c r="G70">
        <v>101</v>
      </c>
      <c r="H70" t="str">
        <v>Amit</v>
      </c>
      <c r="I70" t="str">
        <v>IT</v>
      </c>
      <c r="J70" t="str">
        <v>Delhi</v>
      </c>
      <c r="K70">
        <v>45000</v>
      </c>
      <c r="L70">
        <v>2</v>
      </c>
      <c r="P70">
        <v>109</v>
      </c>
      <c r="Q70" t="str">
        <v>Rahul</v>
      </c>
      <c r="R70" t="str">
        <v>IT</v>
      </c>
      <c r="S70" t="str">
        <v>Mumbai</v>
      </c>
      <c r="T70">
        <v>47000</v>
      </c>
      <c r="U70">
        <v>3</v>
      </c>
    </row>
    <row r="71" spans="1:25" x14ac:dyDescent="0.3">
      <c r="G71">
        <v>105</v>
      </c>
      <c r="H71" t="str">
        <v>Karan</v>
      </c>
      <c r="I71" t="str">
        <v>HR</v>
      </c>
      <c r="J71" t="str">
        <v>Delhi</v>
      </c>
      <c r="K71">
        <v>39000</v>
      </c>
      <c r="L71">
        <v>2</v>
      </c>
      <c r="P71">
        <v>104</v>
      </c>
      <c r="Q71" t="str">
        <v>Priya</v>
      </c>
      <c r="R71" t="str">
        <v>Sales</v>
      </c>
      <c r="S71" t="str">
        <v>Mumbai</v>
      </c>
      <c r="T71">
        <v>42000</v>
      </c>
      <c r="U71">
        <v>3</v>
      </c>
    </row>
    <row r="72" spans="1:25" x14ac:dyDescent="0.3">
      <c r="G72">
        <v>107</v>
      </c>
      <c r="H72" t="str">
        <v>Mohit</v>
      </c>
      <c r="I72" t="str">
        <v>Sales</v>
      </c>
      <c r="J72" t="str">
        <v>Jaipur</v>
      </c>
      <c r="K72">
        <v>41000</v>
      </c>
      <c r="L72">
        <v>2</v>
      </c>
      <c r="P72">
        <v>107</v>
      </c>
      <c r="Q72" t="str">
        <v>Mohit</v>
      </c>
      <c r="R72" t="str">
        <v>Sales</v>
      </c>
      <c r="S72" t="str">
        <v>Jaipur</v>
      </c>
      <c r="T72">
        <v>41000</v>
      </c>
      <c r="U72">
        <v>2</v>
      </c>
    </row>
    <row r="73" spans="1:25" x14ac:dyDescent="0.3">
      <c r="G73">
        <v>102</v>
      </c>
      <c r="H73" t="str">
        <v>Neha</v>
      </c>
      <c r="I73" t="str">
        <v>HR</v>
      </c>
      <c r="J73" t="str">
        <v>Jaipur</v>
      </c>
      <c r="K73">
        <v>38000</v>
      </c>
      <c r="L73">
        <v>1</v>
      </c>
    </row>
    <row r="76" spans="1:25" x14ac:dyDescent="0.3">
      <c r="N76">
        <v>3</v>
      </c>
      <c r="O76" t="s">
        <v>49</v>
      </c>
      <c r="P76" cm="1">
        <f t="array" ref="P76:P85">_xlfn.UNIQUE(Salary)</f>
        <v>45000</v>
      </c>
      <c r="W76">
        <v>4</v>
      </c>
      <c r="X76" t="s">
        <v>50</v>
      </c>
      <c r="Y76" cm="1">
        <f t="array" ref="Y76:Y80">_xlfn.UNIQUE(Experience)</f>
        <v>2</v>
      </c>
    </row>
    <row r="77" spans="1:25" x14ac:dyDescent="0.3">
      <c r="A77" t="s">
        <v>24</v>
      </c>
      <c r="B77" t="s">
        <v>34</v>
      </c>
      <c r="C77" t="s">
        <v>46</v>
      </c>
      <c r="D77" t="s">
        <v>27</v>
      </c>
      <c r="E77">
        <v>1</v>
      </c>
      <c r="F77" t="s">
        <v>47</v>
      </c>
      <c r="G77" t="str" cm="1">
        <f t="array" ref="G77:G80">_xlfn.UNIQUE(Department)</f>
        <v>IT</v>
      </c>
      <c r="P77">
        <v>38000</v>
      </c>
      <c r="Y77">
        <v>1</v>
      </c>
    </row>
    <row r="78" spans="1:25" x14ac:dyDescent="0.3">
      <c r="G78" t="str">
        <v>HR</v>
      </c>
      <c r="P78">
        <v>55000</v>
      </c>
      <c r="Y78">
        <v>4</v>
      </c>
    </row>
    <row r="79" spans="1:25" x14ac:dyDescent="0.3">
      <c r="G79" t="str">
        <v>Sales</v>
      </c>
      <c r="P79">
        <v>42000</v>
      </c>
      <c r="Y79">
        <v>3</v>
      </c>
    </row>
    <row r="80" spans="1:25" x14ac:dyDescent="0.3">
      <c r="G80" t="str">
        <v>Finance</v>
      </c>
      <c r="P80">
        <v>39000</v>
      </c>
      <c r="Y80">
        <v>5</v>
      </c>
    </row>
    <row r="81" spans="1:25" x14ac:dyDescent="0.3">
      <c r="P81">
        <v>60000</v>
      </c>
    </row>
    <row r="82" spans="1:25" x14ac:dyDescent="0.3">
      <c r="E82">
        <v>2</v>
      </c>
      <c r="F82" t="s">
        <v>48</v>
      </c>
      <c r="G82" t="str" cm="1">
        <f t="array" ref="G82:G85">_xlfn.UNIQUE(City)</f>
        <v>Delhi</v>
      </c>
      <c r="P82">
        <v>41000</v>
      </c>
    </row>
    <row r="83" spans="1:25" x14ac:dyDescent="0.3">
      <c r="G83" t="str">
        <v>Jaipur</v>
      </c>
      <c r="P83">
        <v>50000</v>
      </c>
    </row>
    <row r="84" spans="1:25" x14ac:dyDescent="0.3">
      <c r="G84" t="str">
        <v>Mumbai</v>
      </c>
      <c r="P84">
        <v>47000</v>
      </c>
    </row>
    <row r="85" spans="1:25" x14ac:dyDescent="0.3">
      <c r="G85" t="str">
        <v>Pune</v>
      </c>
      <c r="P85">
        <v>53000</v>
      </c>
    </row>
    <row r="90" spans="1:25" x14ac:dyDescent="0.3">
      <c r="A90" t="s">
        <v>24</v>
      </c>
      <c r="B90" t="s">
        <v>34</v>
      </c>
      <c r="D90" t="s">
        <v>27</v>
      </c>
      <c r="E90">
        <v>1</v>
      </c>
      <c r="F90" s="5" t="s">
        <v>51</v>
      </c>
      <c r="G90" cm="1">
        <f t="array" aca="1" ref="G90:G94" ca="1">_xlfn.RANDARRAY(5,1)</f>
        <v>0.70642930718351016</v>
      </c>
      <c r="N90">
        <v>3</v>
      </c>
      <c r="O90" t="s">
        <v>53</v>
      </c>
      <c r="P90" cm="1">
        <f t="array" aca="1" ref="P90:R94" ca="1">_xlfn.RANDARRAY(5,3)</f>
        <v>0.79944581339074583</v>
      </c>
      <c r="Q90">
        <f ca="1"/>
        <v>0.87499129901056016</v>
      </c>
      <c r="R90">
        <f ca="1"/>
        <v>0.66682546566461953</v>
      </c>
      <c r="W90">
        <v>5</v>
      </c>
      <c r="X90" t="s">
        <v>55</v>
      </c>
      <c r="Y90" cm="1">
        <f t="array" aca="1" ref="Y90:Y97" ca="1">_xlfn.RANDARRAY(8,1,10,50,TRUE)</f>
        <v>38</v>
      </c>
    </row>
    <row r="91" spans="1:25" x14ac:dyDescent="0.3">
      <c r="G91">
        <f ca="1"/>
        <v>0.32722397219521215</v>
      </c>
      <c r="P91">
        <f ca="1"/>
        <v>0.99391244497276499</v>
      </c>
      <c r="Q91">
        <f ca="1"/>
        <v>0.14215519389233</v>
      </c>
      <c r="R91">
        <f ca="1"/>
        <v>0.80873910304311125</v>
      </c>
      <c r="Y91">
        <f ca="1"/>
        <v>35</v>
      </c>
    </row>
    <row r="92" spans="1:25" x14ac:dyDescent="0.3">
      <c r="G92">
        <f ca="1"/>
        <v>0.17420802081562714</v>
      </c>
      <c r="P92">
        <f ca="1"/>
        <v>0.60989650202707613</v>
      </c>
      <c r="Q92">
        <f ca="1"/>
        <v>0.15129870237739551</v>
      </c>
      <c r="R92">
        <f ca="1"/>
        <v>0.68066620633374364</v>
      </c>
      <c r="Y92">
        <f ca="1"/>
        <v>18</v>
      </c>
    </row>
    <row r="93" spans="1:25" x14ac:dyDescent="0.3">
      <c r="G93">
        <f ca="1"/>
        <v>8.61459503684876E-2</v>
      </c>
      <c r="P93">
        <f ca="1"/>
        <v>0.91556872456649341</v>
      </c>
      <c r="Q93">
        <f ca="1"/>
        <v>0.17472432413136563</v>
      </c>
      <c r="R93">
        <f ca="1"/>
        <v>0.23754064299831934</v>
      </c>
      <c r="Y93">
        <f ca="1"/>
        <v>15</v>
      </c>
    </row>
    <row r="94" spans="1:25" x14ac:dyDescent="0.3">
      <c r="G94">
        <f ca="1"/>
        <v>0.90250928499733396</v>
      </c>
      <c r="P94">
        <f ca="1"/>
        <v>0.79499678663023898</v>
      </c>
      <c r="Q94">
        <f ca="1"/>
        <v>0.5353336365524819</v>
      </c>
      <c r="R94">
        <f ca="1"/>
        <v>0.46862910566288352</v>
      </c>
      <c r="Y94">
        <f ca="1"/>
        <v>17</v>
      </c>
    </row>
    <row r="95" spans="1:25" x14ac:dyDescent="0.3">
      <c r="Y95">
        <f ca="1"/>
        <v>47</v>
      </c>
    </row>
    <row r="96" spans="1:25" x14ac:dyDescent="0.3">
      <c r="E96">
        <v>2</v>
      </c>
      <c r="F96" t="s">
        <v>52</v>
      </c>
      <c r="G96" cm="1">
        <f t="array" aca="1" ref="G96:G105" ca="1">_xlfn.RANDARRAY(10,1)</f>
        <v>0.26355375032586736</v>
      </c>
      <c r="Y96">
        <f ca="1"/>
        <v>26</v>
      </c>
    </row>
    <row r="97" spans="7:25" x14ac:dyDescent="0.3">
      <c r="G97">
        <f ca="1"/>
        <v>0.71053786879764136</v>
      </c>
      <c r="N97">
        <v>4</v>
      </c>
      <c r="O97" t="s">
        <v>54</v>
      </c>
      <c r="P97" cm="1">
        <f t="array" aca="1" ref="P97:P106" ca="1">_xlfn.RANDARRAY(10,1,1,100,TRUE)</f>
        <v>21</v>
      </c>
      <c r="Y97">
        <f ca="1"/>
        <v>35</v>
      </c>
    </row>
    <row r="98" spans="7:25" x14ac:dyDescent="0.3">
      <c r="G98">
        <f ca="1"/>
        <v>0.23868492376106265</v>
      </c>
      <c r="P98">
        <f ca="1"/>
        <v>73</v>
      </c>
    </row>
    <row r="99" spans="7:25" x14ac:dyDescent="0.3">
      <c r="G99">
        <f ca="1"/>
        <v>0.80954706004365096</v>
      </c>
      <c r="P99">
        <f ca="1"/>
        <v>14</v>
      </c>
    </row>
    <row r="100" spans="7:25" x14ac:dyDescent="0.3">
      <c r="G100">
        <f ca="1"/>
        <v>0.46461667952494223</v>
      </c>
      <c r="P100">
        <f ca="1"/>
        <v>96</v>
      </c>
    </row>
    <row r="101" spans="7:25" x14ac:dyDescent="0.3">
      <c r="G101">
        <f ca="1"/>
        <v>0.79285982630980478</v>
      </c>
      <c r="P101">
        <f ca="1"/>
        <v>18</v>
      </c>
    </row>
    <row r="102" spans="7:25" x14ac:dyDescent="0.3">
      <c r="G102">
        <f ca="1"/>
        <v>0.42950311775579153</v>
      </c>
      <c r="P102">
        <f ca="1"/>
        <v>56</v>
      </c>
    </row>
    <row r="103" spans="7:25" x14ac:dyDescent="0.3">
      <c r="G103">
        <f ca="1"/>
        <v>0.48975860957650408</v>
      </c>
      <c r="P103">
        <f ca="1"/>
        <v>71</v>
      </c>
    </row>
    <row r="104" spans="7:25" x14ac:dyDescent="0.3">
      <c r="G104">
        <f ca="1"/>
        <v>0.72788661042432556</v>
      </c>
      <c r="P104">
        <f ca="1"/>
        <v>16</v>
      </c>
    </row>
    <row r="105" spans="7:25" x14ac:dyDescent="0.3">
      <c r="G105">
        <f ca="1"/>
        <v>0.81374377342860549</v>
      </c>
      <c r="P105">
        <f ca="1"/>
        <v>26</v>
      </c>
    </row>
    <row r="106" spans="7:25" x14ac:dyDescent="0.3">
      <c r="P106">
        <f ca="1"/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City</vt:lpstr>
      <vt:lpstr>Data_Base</vt:lpstr>
      <vt:lpstr>data_data</vt:lpstr>
      <vt:lpstr>Department</vt:lpstr>
      <vt:lpstr>Emp_ID</vt:lpstr>
      <vt:lpstr>Experience</vt:lpstr>
      <vt:lpstr>Name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2026-08-06T16:11:12Z</dcterms:created>
  <dcterms:modified xsi:type="dcterms:W3CDTF">2026-08-06T17:09:34Z</dcterms:modified>
</cp:coreProperties>
</file>