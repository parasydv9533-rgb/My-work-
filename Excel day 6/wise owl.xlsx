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My-work-\Excel day 6\"/>
    </mc:Choice>
  </mc:AlternateContent>
  <xr:revisionPtr revIDLastSave="0" documentId="13_ncr:1_{60C74E7C-861A-4A60-8B2D-53711E84533C}" xr6:coauthVersionLast="47" xr6:coauthVersionMax="47" xr10:uidLastSave="{00000000-0000-0000-0000-000000000000}"/>
  <bookViews>
    <workbookView xWindow="11208" yWindow="264" windowWidth="11964" windowHeight="11832" firstSheet="2" activeTab="2" xr2:uid="{E5456053-6419-4F5B-9B80-4FBE5B96AD9F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definedNames>
    <definedName name="Parkingfee">'question 3'!$B$16</definedName>
    <definedName name="Threshold">'question 3'!$B$15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 a="1"/>
  <c r="C10" i="3" s="1"/>
  <c r="C9" i="3" a="1"/>
  <c r="C9" i="3" s="1"/>
  <c r="C8" i="3" a="1"/>
  <c r="C8" i="3" s="1"/>
  <c r="C7" i="3" a="1"/>
  <c r="C7" i="3" s="1"/>
  <c r="C6" i="3" a="1"/>
  <c r="C6" i="3" s="1"/>
  <c r="C5" i="3" a="1"/>
  <c r="C5" i="3" s="1"/>
  <c r="C4" i="3" a="1"/>
  <c r="C4" i="3" s="1"/>
  <c r="D12" i="4"/>
  <c r="E10" i="4"/>
  <c r="E8" i="4"/>
  <c r="E6" i="4"/>
  <c r="E5" i="4"/>
  <c r="E4" i="4"/>
  <c r="D5" i="4"/>
  <c r="D11" i="4"/>
  <c r="D10" i="4"/>
  <c r="D9" i="4"/>
  <c r="D8" i="4"/>
  <c r="D7" i="4"/>
  <c r="D6" i="4"/>
  <c r="D4" i="4"/>
  <c r="C15" i="1" l="1"/>
  <c r="C14" i="1"/>
  <c r="C13" i="1"/>
  <c r="C12" i="1"/>
  <c r="C11" i="1"/>
  <c r="C10" i="1"/>
  <c r="C9" i="1"/>
  <c r="C8" i="1"/>
  <c r="C7" i="1"/>
  <c r="C6" i="1"/>
  <c r="C5" i="1"/>
  <c r="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<sst xmlns="http://schemas.openxmlformats.org/spreadsheetml/2006/main" count="105" uniqueCount="87">
  <si>
    <t>Pesko Club Card Vouchers</t>
  </si>
  <si>
    <t>Date</t>
  </si>
  <si>
    <t>Amount</t>
  </si>
  <si>
    <t>Club card Vouchers Earned</t>
  </si>
  <si>
    <t>Vouchers per £1</t>
  </si>
  <si>
    <t>£4 = 1 voucher whole vouchers only</t>
  </si>
  <si>
    <t>Jan Week 1 Sales Figs for Midlands Team</t>
  </si>
  <si>
    <t>Name</t>
  </si>
  <si>
    <t>No. Sales</t>
  </si>
  <si>
    <t>Juliette</t>
  </si>
  <si>
    <t>Rory</t>
  </si>
  <si>
    <t>Sam</t>
  </si>
  <si>
    <t>COUNT</t>
  </si>
  <si>
    <t>(see the difference when you remove data from both cols)</t>
  </si>
  <si>
    <t>COUNTA</t>
  </si>
  <si>
    <t>IF name is Sam</t>
  </si>
  <si>
    <t>IF sales&gt;60</t>
  </si>
  <si>
    <t>IF sales&lt;40</t>
  </si>
  <si>
    <t>COUNTIF</t>
  </si>
  <si>
    <t>If name &gt;K and sales &gt;30</t>
  </si>
  <si>
    <t>If name is Sam and sales &gt;50</t>
  </si>
  <si>
    <t>If name is Juliette and sales &gt;50</t>
  </si>
  <si>
    <t>COUNTIFS</t>
  </si>
  <si>
    <t>Manchester</t>
  </si>
  <si>
    <t>Mansfield</t>
  </si>
  <si>
    <t>Liverpool</t>
  </si>
  <si>
    <t>Hull</t>
  </si>
  <si>
    <t>Derby</t>
  </si>
  <si>
    <t>Oxford</t>
  </si>
  <si>
    <t>Alton</t>
  </si>
  <si>
    <t>IF the name &lt; Manchester</t>
  </si>
  <si>
    <t>Pesko Store Car Parking Charges</t>
  </si>
  <si>
    <t>Car Reg</t>
  </si>
  <si>
    <t>Hours Parked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</si>
  <si>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</si>
  <si>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</si>
  <si>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</si>
  <si>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</si>
  <si>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</si>
  <si>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</si>
  <si>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</si>
  <si>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</si>
  <si>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If park &lt;= 2 hrs, no fee (message)</t>
  </si>
  <si>
    <t>Anything more pay £2 per hour</t>
  </si>
  <si>
    <t>Threshold</t>
  </si>
  <si>
    <t>Parking fee</t>
  </si>
  <si>
    <t>Car Parking Charges</t>
  </si>
  <si>
    <t>No. Hrs Parked</t>
  </si>
  <si>
    <t>£6.00</t>
  </si>
  <si>
    <t>If park &gt;6 hours, pay £3.50 pr hr</t>
  </si>
  <si>
    <t>£42.00</t>
  </si>
  <si>
    <t>Anything less pay £1 pr hr</t>
  </si>
  <si>
    <t>£28.00</t>
  </si>
  <si>
    <t>£38.50</t>
  </si>
  <si>
    <t>£5.00</t>
  </si>
  <si>
    <t>Long Hour Fee</t>
  </si>
  <si>
    <t>£3.50</t>
  </si>
  <si>
    <t>£3.00</t>
  </si>
  <si>
    <t>Short Hour Fee</t>
  </si>
  <si>
    <t>£1.00</t>
  </si>
  <si>
    <t>MA16 GKW</t>
  </si>
  <si>
    <t>£24.50</t>
  </si>
  <si>
    <t>FS12 DSD</t>
  </si>
  <si>
    <t>DA11 SBM</t>
  </si>
  <si>
    <t>Printer Cartridge Orders for this Month</t>
  </si>
  <si>
    <t>Company</t>
  </si>
  <si>
    <t>Order Quantity</t>
  </si>
  <si>
    <t>Order Cost</t>
  </si>
  <si>
    <t>Discount Applied</t>
  </si>
  <si>
    <t>Final Order Cost</t>
  </si>
  <si>
    <t>CDC Industries Ltd</t>
  </si>
  <si>
    <t>Fox &amp; Co</t>
  </si>
  <si>
    <t>FDL Printers Ltd</t>
  </si>
  <si>
    <t>Myers and Gough LLB</t>
  </si>
  <si>
    <t>£20,115.00</t>
  </si>
  <si>
    <t>Abco plc</t>
  </si>
  <si>
    <t>Daniels Healthcare</t>
  </si>
  <si>
    <t>£17,880.00</t>
  </si>
  <si>
    <t>Pets R Us</t>
  </si>
  <si>
    <t>Abelmans</t>
  </si>
  <si>
    <t>£7,822.50</t>
  </si>
  <si>
    <t>TOTAL:</t>
  </si>
  <si>
    <t>£2,50,320.00</t>
  </si>
  <si>
    <t>Price</t>
  </si>
  <si>
    <t>£22.35</t>
  </si>
  <si>
    <t>High Discount</t>
  </si>
  <si>
    <t>Low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</si>
</sst>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5468-4840-4069-B3A2-5A9153A279F1}">
  <dimension ref="A1:F15"/>
  <sheetViews>
    <sheetView workbookViewId="0">
      <selection activeCell="B3" sqref="B3:C15"/>
    </sheetView>
  </sheetViews>
  <sheetFormatPr defaultRowHeight="14.4" x14ac:dyDescent="0.3"/>
  <cols>
    <col min="3" max="3" width="23.109375" customWidth="1"/>
    <col min="5" max="5" width="15.88671875" customWidth="1"/>
  </cols>
  <sheetData>
    <row r="1" spans="1:6" x14ac:dyDescent="0.3">
      <c r="A1" t="s">
        <v>0</v>
      </c>
    </row>
    <row r="3" spans="1:6" x14ac:dyDescent="0.3">
      <c r="A3" t="s">
        <v>1</v>
      </c>
      <c r="B3" s="2" t="s">
        <v>2</v>
      </c>
      <c r="C3" s="2" t="s">
        <v>3</v>
      </c>
      <c r="E3" t="s">
        <v>4</v>
      </c>
      <c r="F3">
        <v>0.25</v>
      </c>
    </row>
    <row r="4" spans="1:6" x14ac:dyDescent="0.3">
      <c r="A4" s="1">
        <v>46037</v>
      </c>
      <c r="B4" s="2">
        <v>112.66</v>
      </c>
      <c r="C4" s="2">
        <f>B4*F3</f>
        <v>28.164999999999999</v>
      </c>
    </row>
    <row r="5" spans="1:6" x14ac:dyDescent="0.3">
      <c r="A5" s="1">
        <v>46043</v>
      </c>
      <c r="B5" s="2">
        <v>17.54</v>
      </c>
      <c r="C5" s="2">
        <f>B5*F3</f>
        <v>4.3849999999999998</v>
      </c>
      <c r="E5" t="s">
        <v>5</v>
      </c>
    </row>
    <row r="6" spans="1:6" x14ac:dyDescent="0.3">
      <c r="A6" s="1">
        <v>46085</v>
      </c>
      <c r="B6" s="2">
        <v>96.87</v>
      </c>
      <c r="C6" s="2">
        <f>B6*F3</f>
        <v>24.217500000000001</v>
      </c>
    </row>
    <row r="7" spans="1:6" x14ac:dyDescent="0.3">
      <c r="A7" s="1">
        <v>46153</v>
      </c>
      <c r="B7" s="2">
        <v>32.78</v>
      </c>
      <c r="C7" s="2">
        <f>B7*F3</f>
        <v>8.1950000000000003</v>
      </c>
    </row>
    <row r="8" spans="1:6" x14ac:dyDescent="0.3">
      <c r="A8" s="1">
        <v>46171</v>
      </c>
      <c r="B8" s="2">
        <v>56.38</v>
      </c>
      <c r="C8" s="2">
        <f>B8*F3</f>
        <v>14.095000000000001</v>
      </c>
    </row>
    <row r="9" spans="1:6" x14ac:dyDescent="0.3">
      <c r="A9" s="1">
        <v>46193</v>
      </c>
      <c r="B9" s="2">
        <v>62.94</v>
      </c>
      <c r="C9" s="2">
        <f>B9*F3</f>
        <v>15.734999999999999</v>
      </c>
    </row>
    <row r="10" spans="1:6" x14ac:dyDescent="0.3">
      <c r="A10" s="1">
        <v>46236</v>
      </c>
      <c r="B10" s="2">
        <v>74.89</v>
      </c>
      <c r="C10" s="2">
        <f>B10*F3</f>
        <v>18.7225</v>
      </c>
    </row>
    <row r="11" spans="1:6" x14ac:dyDescent="0.3">
      <c r="A11" s="1">
        <v>46252</v>
      </c>
      <c r="B11" s="2">
        <v>13.45</v>
      </c>
      <c r="C11" s="2">
        <f>B11*F3</f>
        <v>3.3624999999999998</v>
      </c>
    </row>
    <row r="12" spans="1:6" x14ac:dyDescent="0.3">
      <c r="A12" s="1">
        <v>46272</v>
      </c>
      <c r="B12" s="2">
        <v>73.63</v>
      </c>
      <c r="C12" s="2">
        <f>B12*F3</f>
        <v>18.407499999999999</v>
      </c>
    </row>
    <row r="13" spans="1:6" x14ac:dyDescent="0.3">
      <c r="A13" s="1">
        <v>46298</v>
      </c>
      <c r="B13" s="2">
        <v>93.86</v>
      </c>
      <c r="C13" s="2">
        <f>B13*F3</f>
        <v>23.465</v>
      </c>
    </row>
    <row r="14" spans="1:6" x14ac:dyDescent="0.3">
      <c r="A14" s="1">
        <v>46324</v>
      </c>
      <c r="B14" s="2">
        <v>52.11</v>
      </c>
      <c r="C14" s="2">
        <f>B14*F3</f>
        <v>13.0275</v>
      </c>
    </row>
    <row r="15" spans="1:6" x14ac:dyDescent="0.3">
      <c r="A15" s="1">
        <v>46364</v>
      </c>
      <c r="B15" s="2">
        <v>143.66999999999999</v>
      </c>
      <c r="C15" s="2">
        <f>B15*F3</f>
        <v>35.917499999999997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6007-FAFA-4D37-9EC3-7BDBBF0795F2}">
  <dimension ref="A1:E35"/>
  <sheetViews>
    <sheetView topLeftCell="A11" workbookViewId="0">
      <selection activeCell="C29" sqref="C29:C35"/>
    </sheetView>
  </sheetViews>
  <sheetFormatPr defaultRowHeight="14.4" x14ac:dyDescent="0.3"/>
  <cols>
    <col min="2" max="2" width="27.21875" customWidth="1"/>
    <col min="3" max="3" width="26" customWidth="1"/>
  </cols>
  <sheetData>
    <row r="1" spans="1:5" x14ac:dyDescent="0.3">
      <c r="A1" t="s">
        <v>6</v>
      </c>
    </row>
    <row r="3" spans="1:5" x14ac:dyDescent="0.3">
      <c r="B3" t="s">
        <v>7</v>
      </c>
      <c r="C3" t="s">
        <v>8</v>
      </c>
    </row>
    <row r="4" spans="1:5" x14ac:dyDescent="0.3">
      <c r="B4" t="s">
        <v>9</v>
      </c>
      <c r="C4">
        <v>54</v>
      </c>
    </row>
    <row r="5" spans="1:5" x14ac:dyDescent="0.3">
      <c r="B5" t="s">
        <v>10</v>
      </c>
      <c r="C5">
        <v>27</v>
      </c>
    </row>
    <row r="6" spans="1:5" x14ac:dyDescent="0.3">
      <c r="B6" t="s">
        <v>11</v>
      </c>
      <c r="C6">
        <v>39</v>
      </c>
    </row>
    <row r="7" spans="1:5" x14ac:dyDescent="0.3">
      <c r="B7" t="s">
        <v>9</v>
      </c>
      <c r="C7">
        <v>88</v>
      </c>
    </row>
    <row r="8" spans="1:5" x14ac:dyDescent="0.3">
      <c r="B8" t="s">
        <v>9</v>
      </c>
      <c r="C8">
        <v>39</v>
      </c>
    </row>
    <row r="9" spans="1:5" x14ac:dyDescent="0.3">
      <c r="B9" t="s">
        <v>11</v>
      </c>
      <c r="C9">
        <v>96</v>
      </c>
    </row>
    <row r="11" spans="1:5" x14ac:dyDescent="0.3">
      <c r="A11" t="s">
        <v>12</v>
      </c>
      <c r="B11">
        <v>0</v>
      </c>
      <c r="C11">
        <v>6</v>
      </c>
      <c r="D11" t="s">
        <v>13</v>
      </c>
    </row>
    <row r="12" spans="1:5" x14ac:dyDescent="0.3">
      <c r="A12" t="s">
        <v>14</v>
      </c>
      <c r="B12">
        <v>6</v>
      </c>
      <c r="C12">
        <v>6</v>
      </c>
      <c r="D12" t="s">
        <v>13</v>
      </c>
    </row>
    <row r="14" spans="1:5" x14ac:dyDescent="0.3">
      <c r="B14" t="s">
        <v>15</v>
      </c>
      <c r="C14" t="s">
        <v>16</v>
      </c>
      <c r="E14" t="s">
        <v>17</v>
      </c>
    </row>
    <row r="15" spans="1:5" x14ac:dyDescent="0.3">
      <c r="A15" t="s">
        <v>18</v>
      </c>
      <c r="B15">
        <v>2</v>
      </c>
      <c r="C15">
        <v>2</v>
      </c>
      <c r="E15">
        <v>3</v>
      </c>
    </row>
    <row r="17" spans="1:5" x14ac:dyDescent="0.3">
      <c r="B17" t="s">
        <v>19</v>
      </c>
      <c r="C17" t="s">
        <v>20</v>
      </c>
      <c r="D17" t="s">
        <v>21</v>
      </c>
    </row>
    <row r="18" spans="1:5" x14ac:dyDescent="0.3">
      <c r="A18" t="s">
        <v>22</v>
      </c>
      <c r="B18">
        <v>2</v>
      </c>
      <c r="C18">
        <v>1</v>
      </c>
      <c r="E18">
        <v>2</v>
      </c>
    </row>
    <row r="27" spans="1:5" x14ac:dyDescent="0.3">
      <c r="B27">
        <v>4</v>
      </c>
      <c r="C27" t="s">
        <v>30</v>
      </c>
    </row>
    <row r="29" spans="1:5" x14ac:dyDescent="0.3">
      <c r="C29" t="s">
        <v>23</v>
      </c>
    </row>
    <row r="30" spans="1:5" x14ac:dyDescent="0.3">
      <c r="C30" t="s">
        <v>24</v>
      </c>
    </row>
    <row r="31" spans="1:5" x14ac:dyDescent="0.3">
      <c r="C31" t="s">
        <v>25</v>
      </c>
    </row>
    <row r="32" spans="1:5" x14ac:dyDescent="0.3">
      <c r="C32" t="s">
        <v>26</v>
      </c>
    </row>
    <row r="33" spans="3:3" x14ac:dyDescent="0.3">
      <c r="C33" t="s">
        <v>27</v>
      </c>
    </row>
    <row r="34" spans="3:3" x14ac:dyDescent="0.3">
      <c r="C34" t="s">
        <v>28</v>
      </c>
    </row>
    <row r="35" spans="3:3" x14ac:dyDescent="0.3">
      <c r="C3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A653-8B3A-41B0-90AB-037EABEDD5A1}">
  <dimension ref="A1:C16"/>
  <sheetViews>
    <sheetView tabSelected="1" zoomScale="93" workbookViewId="0">
      <selection activeCell="C13" sqref="C13"/>
    </sheetView>
  </sheetViews>
  <sheetFormatPr defaultRowHeight="14.4" x14ac:dyDescent="0.3"/>
  <cols>
    <col min="1" max="1" width="12.21875" customWidth="1"/>
    <col min="2" max="2" width="13.5546875" customWidth="1"/>
    <col min="3" max="3" width="16.6640625" customWidth="1"/>
  </cols>
  <sheetData>
    <row r="1" spans="1:3" x14ac:dyDescent="0.3">
      <c r="A1" t="s">
        <v>31</v>
      </c>
    </row>
    <row r="3" spans="1:3" x14ac:dyDescent="0.3">
      <c r="A3" t="s">
        <v>32</v>
      </c>
      <c r="B3" t="s">
        <v>33</v>
      </c>
      <c r="C3" t="s">
        <v>34</v>
      </c>
    </row>
    <row r="4" spans="1:3" x14ac:dyDescent="0.3">
      <c r="A4" t="s">
        <v>35</v>
      </c>
      <c r="B4">
        <v>0.5</v>
      </c>
      <c r="C4" s="2" t="str" cm="1">
        <f t="array" ref="C4">IF(B4&lt;=Threshold,"Free parking",B4*Parkingfee)</f>
        <v>Free parking</v>
      </c>
    </row>
    <row r="5" spans="1:3" x14ac:dyDescent="0.3">
      <c r="A5" t="s">
        <v>36</v>
      </c>
      <c r="B5">
        <v>4</v>
      </c>
      <c r="C5" s="2" cm="1">
        <f t="array" ref="C5">IF(B5&lt;=Threshold,"Free parking",B5*Parkingfee)</f>
        <v>12</v>
      </c>
    </row>
    <row r="6" spans="1:3" x14ac:dyDescent="0.3">
      <c r="A6" t="s">
        <v>37</v>
      </c>
      <c r="B6">
        <v>1.5</v>
      </c>
      <c r="C6" s="2" t="str" cm="1">
        <f t="array" ref="C6">IF(B6&lt;=Threshold,"Free parking",B6*Parkingfee)</f>
        <v>Free parking</v>
      </c>
    </row>
    <row r="7" spans="1:3" x14ac:dyDescent="0.3">
      <c r="A7" t="s">
        <v>38</v>
      </c>
      <c r="B7">
        <v>2</v>
      </c>
      <c r="C7" s="2" cm="1">
        <f t="array" ref="C7">IF(B7&lt;=Threshold,"Free parking",B7*Parkingfee)</f>
        <v>6</v>
      </c>
    </row>
    <row r="8" spans="1:3" x14ac:dyDescent="0.3">
      <c r="A8" t="s">
        <v>39</v>
      </c>
      <c r="B8">
        <v>5.5</v>
      </c>
      <c r="C8" s="2" cm="1">
        <f t="array" ref="C8">IF(B8&lt;=Threshold,"Free parking",B8*Parkingfee)</f>
        <v>16.5</v>
      </c>
    </row>
    <row r="9" spans="1:3" x14ac:dyDescent="0.3">
      <c r="A9" t="s">
        <v>40</v>
      </c>
      <c r="B9">
        <v>3</v>
      </c>
      <c r="C9" s="2" cm="1">
        <f t="array" ref="C9">IF(B9&lt;=Threshold,"Free parking",B9*Parkingfee)</f>
        <v>9</v>
      </c>
    </row>
    <row r="10" spans="1:3" x14ac:dyDescent="0.3">
      <c r="A10" t="s">
        <v>41</v>
      </c>
      <c r="B10">
        <v>0.5</v>
      </c>
      <c r="C10" s="2" t="str" cm="1">
        <f t="array" ref="C10">IF(B10&lt;=Threshold,"Free parking",B10*Parkingfee)</f>
        <v>Free parking</v>
      </c>
    </row>
    <row r="12" spans="1:3" x14ac:dyDescent="0.3">
      <c r="A12" t="s">
        <v>42</v>
      </c>
    </row>
    <row r="13" spans="1:3" x14ac:dyDescent="0.3">
      <c r="A13" t="s">
        <v>43</v>
      </c>
    </row>
    <row r="15" spans="1:3" x14ac:dyDescent="0.3">
      <c r="A15" t="s">
        <v>44</v>
      </c>
      <c r="B15">
        <v>1.5</v>
      </c>
    </row>
    <row r="16" spans="1:3" x14ac:dyDescent="0.3">
      <c r="A16" t="s">
        <v>45</v>
      </c>
      <c r="B16" s="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A2E1-655B-422A-A7F1-1200415D37E4}">
  <dimension ref="A1:E17"/>
  <sheetViews>
    <sheetView workbookViewId="0">
      <selection activeCell="D13" sqref="D13"/>
    </sheetView>
  </sheetViews>
  <sheetFormatPr defaultRowHeight="14.4" x14ac:dyDescent="0.3"/>
  <cols>
    <col min="1" max="1" width="17.5546875" customWidth="1"/>
    <col min="2" max="2" width="18" customWidth="1"/>
    <col min="3" max="3" width="18.44140625" customWidth="1"/>
    <col min="4" max="4" width="26.21875" customWidth="1"/>
    <col min="5" max="5" width="15.109375" customWidth="1"/>
  </cols>
  <sheetData>
    <row r="1" spans="1:5" x14ac:dyDescent="0.3">
      <c r="A1" t="s">
        <v>64</v>
      </c>
    </row>
    <row r="3" spans="1:5" x14ac:dyDescent="0.3">
      <c r="A3" t="s">
        <v>65</v>
      </c>
      <c r="B3" t="s">
        <v>66</v>
      </c>
      <c r="C3" t="s">
        <v>67</v>
      </c>
      <c r="D3" t="s">
        <v>68</v>
      </c>
      <c r="E3" t="s">
        <v>69</v>
      </c>
    </row>
    <row r="4" spans="1:5" x14ac:dyDescent="0.3">
      <c r="A4" t="s">
        <v>70</v>
      </c>
      <c r="B4">
        <v>1500</v>
      </c>
      <c r="C4" s="2">
        <v>33525</v>
      </c>
      <c r="D4" s="2">
        <f>IF(B4&gt;B15,C4*B16,C4*B17)</f>
        <v>5028.75</v>
      </c>
      <c r="E4" s="2">
        <f>C4-D4</f>
        <v>28496.25</v>
      </c>
    </row>
    <row r="5" spans="1:5" x14ac:dyDescent="0.3">
      <c r="A5" t="s">
        <v>71</v>
      </c>
      <c r="B5">
        <v>2300</v>
      </c>
      <c r="C5" s="2">
        <v>51405</v>
      </c>
      <c r="D5" s="2">
        <f>IF(B5&gt;B15,C5*B16,C5*B17)</f>
        <v>7710.75</v>
      </c>
      <c r="E5" s="2">
        <f>C5-D5</f>
        <v>43694.25</v>
      </c>
    </row>
    <row r="6" spans="1:5" x14ac:dyDescent="0.3">
      <c r="A6" t="s">
        <v>72</v>
      </c>
      <c r="B6">
        <v>450</v>
      </c>
      <c r="C6" s="2">
        <v>10057.5</v>
      </c>
      <c r="D6" s="2">
        <f>IF(B6&gt;B15,C6*B16,C6*B17)</f>
        <v>0</v>
      </c>
      <c r="E6" s="2">
        <f>C6-D6</f>
        <v>10057.5</v>
      </c>
    </row>
    <row r="7" spans="1:5" x14ac:dyDescent="0.3">
      <c r="A7" t="s">
        <v>73</v>
      </c>
      <c r="B7">
        <v>900</v>
      </c>
      <c r="C7" s="2">
        <v>20115</v>
      </c>
      <c r="D7" s="2">
        <f>IF(B7&gt;B15,C7*B16,C7*B17)</f>
        <v>0</v>
      </c>
      <c r="E7" t="s">
        <v>74</v>
      </c>
    </row>
    <row r="8" spans="1:5" x14ac:dyDescent="0.3">
      <c r="A8" t="s">
        <v>75</v>
      </c>
      <c r="B8">
        <v>1300</v>
      </c>
      <c r="C8" s="2">
        <v>29055</v>
      </c>
      <c r="D8" s="2">
        <f>IF(B8&gt;B15,C8*B16,C8*B17)</f>
        <v>4358.25</v>
      </c>
      <c r="E8" s="2">
        <f>C8-D8</f>
        <v>24696.75</v>
      </c>
    </row>
    <row r="9" spans="1:5" x14ac:dyDescent="0.3">
      <c r="A9" t="s">
        <v>76</v>
      </c>
      <c r="B9">
        <v>800</v>
      </c>
      <c r="C9" s="2">
        <v>17880</v>
      </c>
      <c r="D9" s="2">
        <f>IF(B9&gt;B15,C9*B16,C9*B17)</f>
        <v>0</v>
      </c>
      <c r="E9" t="s">
        <v>77</v>
      </c>
    </row>
    <row r="10" spans="1:5" x14ac:dyDescent="0.3">
      <c r="A10" t="s">
        <v>78</v>
      </c>
      <c r="B10">
        <v>3600</v>
      </c>
      <c r="C10" s="2">
        <v>80460</v>
      </c>
      <c r="D10" s="2">
        <f>IF(B10&gt;B15,C10*B16,C10*B17)</f>
        <v>12069</v>
      </c>
      <c r="E10" s="2">
        <f>C10-D10</f>
        <v>68391</v>
      </c>
    </row>
    <row r="11" spans="1:5" x14ac:dyDescent="0.3">
      <c r="A11" t="s">
        <v>79</v>
      </c>
      <c r="B11">
        <v>350</v>
      </c>
      <c r="C11" s="2">
        <v>7822.5</v>
      </c>
      <c r="D11" s="2">
        <f>IF(B11&gt;B15,C11*B16,C11*B17)</f>
        <v>0</v>
      </c>
      <c r="E11" t="s">
        <v>80</v>
      </c>
    </row>
    <row r="12" spans="1:5" x14ac:dyDescent="0.3">
      <c r="A12" t="s">
        <v>81</v>
      </c>
      <c r="B12">
        <v>11200</v>
      </c>
      <c r="C12" s="2">
        <v>250320</v>
      </c>
      <c r="D12" s="2">
        <f>SUM(D4:D11)</f>
        <v>29166.75</v>
      </c>
      <c r="E12" t="s">
        <v>82</v>
      </c>
    </row>
    <row r="14" spans="1:5" x14ac:dyDescent="0.3">
      <c r="A14" t="s">
        <v>83</v>
      </c>
      <c r="B14" t="s">
        <v>84</v>
      </c>
    </row>
    <row r="15" spans="1:5" x14ac:dyDescent="0.3">
      <c r="A15" t="s">
        <v>44</v>
      </c>
      <c r="B15">
        <v>1250</v>
      </c>
    </row>
    <row r="16" spans="1:5" x14ac:dyDescent="0.3">
      <c r="A16" t="s">
        <v>85</v>
      </c>
      <c r="B16" s="3">
        <v>0.15</v>
      </c>
    </row>
    <row r="17" spans="1:2" x14ac:dyDescent="0.3">
      <c r="A17" t="s">
        <v>86</v>
      </c>
      <c r="B17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5BCC-F880-4F2D-B725-1C14B9D24AF5}">
  <dimension ref="A1:F13"/>
  <sheetViews>
    <sheetView workbookViewId="0">
      <selection activeCell="H11" sqref="H11"/>
    </sheetView>
  </sheetViews>
  <sheetFormatPr defaultRowHeight="14.4" x14ac:dyDescent="0.3"/>
  <sheetData>
    <row r="1" spans="1:6" x14ac:dyDescent="0.3">
      <c r="A1" t="s">
        <v>46</v>
      </c>
    </row>
    <row r="3" spans="1:6" x14ac:dyDescent="0.3">
      <c r="A3" t="s">
        <v>32</v>
      </c>
      <c r="B3" t="s">
        <v>47</v>
      </c>
      <c r="C3" t="s">
        <v>34</v>
      </c>
    </row>
    <row r="4" spans="1:6" x14ac:dyDescent="0.3">
      <c r="A4" t="s">
        <v>35</v>
      </c>
      <c r="B4">
        <v>6</v>
      </c>
      <c r="C4" t="s">
        <v>48</v>
      </c>
      <c r="E4" t="s">
        <v>49</v>
      </c>
    </row>
    <row r="5" spans="1:6" x14ac:dyDescent="0.3">
      <c r="A5" t="s">
        <v>36</v>
      </c>
      <c r="B5">
        <v>12</v>
      </c>
      <c r="C5" t="s">
        <v>50</v>
      </c>
      <c r="E5" t="s">
        <v>51</v>
      </c>
    </row>
    <row r="6" spans="1:6" x14ac:dyDescent="0.3">
      <c r="A6" t="s">
        <v>37</v>
      </c>
      <c r="B6">
        <v>8</v>
      </c>
      <c r="C6" t="s">
        <v>52</v>
      </c>
    </row>
    <row r="7" spans="1:6" x14ac:dyDescent="0.3">
      <c r="A7" t="s">
        <v>38</v>
      </c>
      <c r="B7">
        <v>11</v>
      </c>
      <c r="C7" t="s">
        <v>53</v>
      </c>
      <c r="E7" t="s">
        <v>44</v>
      </c>
      <c r="F7">
        <v>6</v>
      </c>
    </row>
    <row r="8" spans="1:6" x14ac:dyDescent="0.3">
      <c r="A8" t="s">
        <v>39</v>
      </c>
      <c r="B8">
        <v>5</v>
      </c>
      <c r="C8" t="s">
        <v>54</v>
      </c>
      <c r="E8" t="s">
        <v>55</v>
      </c>
      <c r="F8" t="s">
        <v>56</v>
      </c>
    </row>
    <row r="9" spans="1:6" x14ac:dyDescent="0.3">
      <c r="A9" t="s">
        <v>40</v>
      </c>
      <c r="B9">
        <v>3</v>
      </c>
      <c r="C9" t="s">
        <v>57</v>
      </c>
      <c r="E9" t="s">
        <v>58</v>
      </c>
      <c r="F9" t="s">
        <v>59</v>
      </c>
    </row>
    <row r="10" spans="1:6" x14ac:dyDescent="0.3">
      <c r="A10" t="s">
        <v>41</v>
      </c>
      <c r="B10">
        <v>12</v>
      </c>
      <c r="C10" t="s">
        <v>50</v>
      </c>
    </row>
    <row r="11" spans="1:6" x14ac:dyDescent="0.3">
      <c r="A11" t="s">
        <v>60</v>
      </c>
      <c r="B11">
        <v>7</v>
      </c>
      <c r="C11" t="s">
        <v>61</v>
      </c>
    </row>
    <row r="12" spans="1:6" x14ac:dyDescent="0.3">
      <c r="A12" t="s">
        <v>62</v>
      </c>
      <c r="B12">
        <v>1</v>
      </c>
      <c r="C12" t="s">
        <v>59</v>
      </c>
    </row>
    <row r="13" spans="1:6" x14ac:dyDescent="0.3">
      <c r="A13" t="s">
        <v>63</v>
      </c>
      <c r="B13">
        <v>6</v>
      </c>
      <c r="C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question 1</vt:lpstr>
      <vt:lpstr>question 2</vt:lpstr>
      <vt:lpstr>question 3</vt:lpstr>
      <vt:lpstr>question 4</vt:lpstr>
      <vt:lpstr>question 5</vt:lpstr>
      <vt:lpstr>Parkingfee</vt:lpstr>
      <vt:lpstr>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2026-08-06T05:09:44Z</dcterms:created>
  <dcterms:modified xsi:type="dcterms:W3CDTF">2026-08-06T16:06:51Z</dcterms:modified>
</cp:coreProperties>
</file>