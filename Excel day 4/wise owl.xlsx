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ata\My-work-\Excel day 4\"/>
    </mc:Choice>
  </mc:AlternateContent>
  <xr:revisionPtr revIDLastSave="0" documentId="13_ncr:1_{C50AABDC-3B5C-4ECC-8A24-1D785A730134}" xr6:coauthVersionLast="47" xr6:coauthVersionMax="47" xr10:uidLastSave="{00000000-0000-0000-0000-000000000000}"/>
  <bookViews>
    <workbookView xWindow="11076" yWindow="348" windowWidth="11964" windowHeight="11832" firstSheet="2" activeTab="4" xr2:uid="{0727DECC-EFB0-4E55-AFFE-509F5D90E4BE}"/>
  </bookViews>
  <sheets>
    <sheet name="question 1" sheetId="1" r:id="rId1"/>
    <sheet name="question 2" sheetId="2" r:id="rId2"/>
    <sheet name="question 3" sheetId="3" r:id="rId3"/>
    <sheet name="question 4" sheetId="4" r:id="rId4"/>
    <sheet name="question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5" l="1"/>
  <c r="C6" i="5"/>
  <c r="C5" i="5"/>
  <c r="C4" i="5"/>
  <c r="E6" i="4"/>
  <c r="D6" i="4"/>
  <c r="D5" i="4"/>
  <c r="D4" i="4"/>
  <c r="C6" i="4"/>
  <c r="C5" i="4"/>
  <c r="C4" i="4"/>
  <c r="F5" i="3"/>
  <c r="H5" i="3" s="1"/>
  <c r="H15" i="3"/>
  <c r="H14" i="3"/>
  <c r="H13" i="3"/>
  <c r="H12" i="3"/>
  <c r="H11" i="3"/>
  <c r="H10" i="3"/>
  <c r="H9" i="3"/>
  <c r="H8" i="3"/>
  <c r="H7" i="3"/>
  <c r="H6" i="3"/>
  <c r="H4" i="3"/>
  <c r="G14" i="3"/>
  <c r="G13" i="3"/>
  <c r="G12" i="3"/>
  <c r="G11" i="3"/>
  <c r="G10" i="3"/>
  <c r="G9" i="3"/>
  <c r="G8" i="3"/>
  <c r="G7" i="3"/>
  <c r="F14" i="3"/>
  <c r="F13" i="3"/>
  <c r="F12" i="3"/>
  <c r="F11" i="3"/>
  <c r="F10" i="3"/>
  <c r="F9" i="3"/>
  <c r="F8" i="3"/>
  <c r="F6" i="3"/>
  <c r="F7" i="3"/>
  <c r="F4" i="3"/>
  <c r="E15" i="3"/>
  <c r="E14" i="3"/>
  <c r="E13" i="3"/>
  <c r="E12" i="3"/>
  <c r="E11" i="3"/>
  <c r="E10" i="3"/>
  <c r="E9" i="3"/>
  <c r="E8" i="3"/>
  <c r="E7" i="3"/>
  <c r="E4" i="3"/>
  <c r="G4" i="3" s="1"/>
  <c r="E5" i="3"/>
  <c r="G5" i="3" s="1"/>
  <c r="E6" i="3"/>
  <c r="G6" i="3" s="1"/>
  <c r="D7" i="2"/>
  <c r="D6" i="2"/>
  <c r="D5" i="2"/>
  <c r="D4" i="2"/>
  <c r="D12" i="1"/>
  <c r="D11" i="1"/>
  <c r="D10" i="1"/>
  <c r="D9" i="1"/>
  <c r="D8" i="1"/>
  <c r="D7" i="1"/>
  <c r="D6" i="1"/>
  <c r="D5" i="1"/>
  <c r="D4" i="1"/>
  <c r="E4" i="4" l="1"/>
  <c r="E5" i="4"/>
  <c r="E16" i="3"/>
  <c r="G15" i="3"/>
  <c r="G16" i="3" s="1"/>
  <c r="F15" i="3"/>
  <c r="F16" i="3" l="1"/>
  <c r="H16" i="3" s="1"/>
</calcChain>
</file>

<file path=xl/sharedStrings.xml><?xml version="1.0" encoding="utf-8"?>
<sst xmlns="http://schemas.openxmlformats.org/spreadsheetml/2006/main" count="107" uniqueCount="96">
  <si>
    <t>T-Shirt Orders for this Month</t>
  </si>
  <si>
    <t>Order No.</t>
  </si>
  <si>
    <t>Quantity</t>
  </si>
  <si>
    <t>Colour</t>
  </si>
  <si>
    <t>Order Cost</t>
  </si>
  <si>
    <t>Price</t>
  </si>
  <si>
    <t>AS/1101A-03</t>
  </si>
  <si>
    <t>Black</t>
  </si>
  <si>
    <t>AS/1101A-04</t>
  </si>
  <si>
    <t>AS/1101A-05</t>
  </si>
  <si>
    <t>White</t>
  </si>
  <si>
    <t>AS/1101A-06</t>
  </si>
  <si>
    <t>AS/1101A-07</t>
  </si>
  <si>
    <t>Blue</t>
  </si>
  <si>
    <t>AS/1101A-08</t>
  </si>
  <si>
    <t>AS/1101A-09</t>
  </si>
  <si>
    <t>AS/1101A-10</t>
  </si>
  <si>
    <t>AS/1101A-11</t>
  </si>
  <si>
    <t>TOTALS</t>
  </si>
  <si>
    <t>Year Summary of Concerts</t>
  </si>
  <si>
    <t xml:space="preserve">Ticket Sales </t>
  </si>
  <si>
    <t>Adult Sales</t>
  </si>
  <si>
    <t>Child Sales</t>
  </si>
  <si>
    <t>Revenue</t>
  </si>
  <si>
    <t>Christmas concert</t>
  </si>
  <si>
    <t>Easter Eggstravaganza</t>
  </si>
  <si>
    <t>Summer Concert</t>
  </si>
  <si>
    <t>CONCERT TOTALS</t>
  </si>
  <si>
    <t>Adult Ticket Price</t>
  </si>
  <si>
    <t>Child Ticket Price</t>
  </si>
  <si>
    <t>Pesko Part-time Workers Weekly Pay</t>
  </si>
  <si>
    <t>Staff ID</t>
  </si>
  <si>
    <t>Surname</t>
  </si>
  <si>
    <t>Initial</t>
  </si>
  <si>
    <t>Hours Worked</t>
  </si>
  <si>
    <t>Pay</t>
  </si>
  <si>
    <t>Nat Ins</t>
  </si>
  <si>
    <t>Tax</t>
  </si>
  <si>
    <t>Final Pay</t>
  </si>
  <si>
    <t>M/141</t>
  </si>
  <si>
    <t>Abbot</t>
  </si>
  <si>
    <t>R</t>
  </si>
  <si>
    <t>M/289</t>
  </si>
  <si>
    <t>Arlington</t>
  </si>
  <si>
    <t>T</t>
  </si>
  <si>
    <t>F/112</t>
  </si>
  <si>
    <t>Brown</t>
  </si>
  <si>
    <t>F/219</t>
  </si>
  <si>
    <t>Davies</t>
  </si>
  <si>
    <t>F</t>
  </si>
  <si>
    <t>F/881</t>
  </si>
  <si>
    <t>Davis</t>
  </si>
  <si>
    <t>G</t>
  </si>
  <si>
    <t>M/448</t>
  </si>
  <si>
    <t>W</t>
  </si>
  <si>
    <t>F/66</t>
  </si>
  <si>
    <t>Fox</t>
  </si>
  <si>
    <t>S</t>
  </si>
  <si>
    <t>M/557</t>
  </si>
  <si>
    <t>Kelsey</t>
  </si>
  <si>
    <t>A</t>
  </si>
  <si>
    <t>M/44</t>
  </si>
  <si>
    <t>Marsh</t>
  </si>
  <si>
    <t>H</t>
  </si>
  <si>
    <t>M/191</t>
  </si>
  <si>
    <t>Oliver</t>
  </si>
  <si>
    <t>M/352</t>
  </si>
  <si>
    <t>Potts</t>
  </si>
  <si>
    <t>B</t>
  </si>
  <si>
    <t>F/336</t>
  </si>
  <si>
    <t>Taylor</t>
  </si>
  <si>
    <t>M</t>
  </si>
  <si>
    <t>TOTAL</t>
  </si>
  <si>
    <t>Hourly Pay Rate</t>
  </si>
  <si>
    <t>Nat Ins Rate</t>
  </si>
  <si>
    <t>Tax Rate</t>
  </si>
  <si>
    <t>Basic Business Plan for The Cycling Muffin Man - First Month</t>
  </si>
  <si>
    <t>Sales</t>
  </si>
  <si>
    <t>Costs</t>
  </si>
  <si>
    <t>Profit</t>
  </si>
  <si>
    <t>Town Centre Lunchtimes</t>
  </si>
  <si>
    <t>Weekend Cycle Trails</t>
  </si>
  <si>
    <t>Outside Football Matches</t>
  </si>
  <si>
    <t>Ingredients</t>
  </si>
  <si>
    <t>Sale Price</t>
  </si>
  <si>
    <t>Overheads</t>
  </si>
  <si>
    <t>Figs are per muffin</t>
  </si>
  <si>
    <t>Forecast Figures for Next Year</t>
  </si>
  <si>
    <t>This Year</t>
  </si>
  <si>
    <t>Next Year Projection</t>
  </si>
  <si>
    <t>Growth</t>
  </si>
  <si>
    <t>Direct Costs</t>
  </si>
  <si>
    <t>Wages inc</t>
  </si>
  <si>
    <t>Indirect Costs</t>
  </si>
  <si>
    <t>Utilities inc</t>
  </si>
  <si>
    <t>Basic Profits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</si>
</sst>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7" formatCode="&quot;£&quot;#,##0.00;[Red]\-&quot;£&quot;#,##0.00"/>
    <numFmt numFmtId="168" formatCode="_-* #,##0.00_-;\-* #,##0.00_-;_-* &quot;-&quot;??_-;_-@_-"/>
    <numFmt numFmtId="169" formatCode="&quot;£&quot;#,##0.00"/>
    <numFmt numFmtId="170" formatCode="_-* #,##0_-;\-* #,##0_-;_-* &quot;-&quot;??_-;_-@_-"/>
    <numFmt numFmtId="171" formatCode="_-[$£-809]* #,##0.00_-;\-[$£-809]* #,##0.00_-;_-[$£-809]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/>
    <xf numFmtId="0" fontId="3" fillId="0" borderId="0" xfId="0" applyFont="1"/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7" fontId="2" fillId="3" borderId="1" xfId="0" applyNumberFormat="1" applyFont="1" applyFill="1" applyBorder="1" applyAlignment="1">
      <alignment horizontal="right"/>
    </xf>
    <xf numFmtId="169" fontId="0" fillId="0" borderId="1" xfId="0" applyNumberFormat="1" applyBorder="1"/>
    <xf numFmtId="170" fontId="0" fillId="0" borderId="1" xfId="1" applyNumberFormat="1" applyFont="1" applyBorder="1"/>
    <xf numFmtId="170" fontId="2" fillId="2" borderId="1" xfId="1" applyNumberFormat="1" applyFont="1" applyFill="1" applyBorder="1"/>
    <xf numFmtId="169" fontId="2" fillId="2" borderId="1" xfId="0" applyNumberFormat="1" applyFont="1" applyFill="1" applyBorder="1"/>
    <xf numFmtId="170" fontId="2" fillId="0" borderId="0" xfId="1" applyNumberFormat="1" applyFont="1" applyFill="1" applyBorder="1"/>
    <xf numFmtId="0" fontId="2" fillId="2" borderId="2" xfId="0" applyFont="1" applyFill="1" applyBorder="1"/>
    <xf numFmtId="170" fontId="0" fillId="0" borderId="2" xfId="1" applyNumberFormat="1" applyFont="1" applyBorder="1"/>
    <xf numFmtId="171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2">
    <cellStyle name="Comma 2" xfId="1" xr:uid="{20DD0CF5-72A9-45A0-B3AD-F068BAFFDE1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845820</xdr:colOff>
      <xdr:row>2</xdr:row>
      <xdr:rowOff>23732</xdr:rowOff>
    </xdr:to>
    <xdr:pic>
      <xdr:nvPicPr>
        <xdr:cNvPr id="5" name="Picture 4" descr="Related image">
          <a:extLst>
            <a:ext uri="{FF2B5EF4-FFF2-40B4-BE49-F238E27FC236}">
              <a16:creationId xmlns:a16="http://schemas.microsoft.com/office/drawing/2014/main" id="{B65DB4F7-B436-49DC-8AA7-D08ACA5DB8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3" t="25896" r="3435" b="27490"/>
        <a:stretch/>
      </xdr:blipFill>
      <xdr:spPr bwMode="auto">
        <a:xfrm>
          <a:off x="0" y="0"/>
          <a:ext cx="845820" cy="4352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C9B97-16F7-4F96-A720-673008310136}">
  <dimension ref="A1:G13"/>
  <sheetViews>
    <sheetView workbookViewId="0">
      <selection activeCell="G4" sqref="G4"/>
    </sheetView>
  </sheetViews>
  <sheetFormatPr defaultRowHeight="14.4" x14ac:dyDescent="0.3"/>
  <cols>
    <col min="1" max="1" width="16.6640625" customWidth="1"/>
    <col min="3" max="3" width="13.109375" customWidth="1"/>
    <col min="4" max="4" width="15.33203125" customWidth="1"/>
  </cols>
  <sheetData>
    <row r="1" spans="1:7" ht="18" x14ac:dyDescent="0.35">
      <c r="A1" s="1"/>
      <c r="B1" s="2" t="s">
        <v>0</v>
      </c>
      <c r="C1" s="2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x14ac:dyDescent="0.3">
      <c r="A3" s="3" t="s">
        <v>1</v>
      </c>
      <c r="B3" s="4" t="s">
        <v>2</v>
      </c>
      <c r="C3" s="5" t="s">
        <v>3</v>
      </c>
      <c r="D3" s="4" t="s">
        <v>4</v>
      </c>
      <c r="E3" s="1"/>
      <c r="F3" s="1" t="s">
        <v>5</v>
      </c>
      <c r="G3" s="8">
        <v>18.45</v>
      </c>
    </row>
    <row r="4" spans="1:7" x14ac:dyDescent="0.3">
      <c r="A4" s="6" t="s">
        <v>6</v>
      </c>
      <c r="B4" s="10">
        <v>1500</v>
      </c>
      <c r="C4" s="7" t="s">
        <v>7</v>
      </c>
      <c r="D4" s="9">
        <f>B4*G3</f>
        <v>27675</v>
      </c>
      <c r="E4" s="1"/>
      <c r="F4" s="1"/>
      <c r="G4" s="1"/>
    </row>
    <row r="5" spans="1:7" x14ac:dyDescent="0.3">
      <c r="A5" s="6" t="s">
        <v>8</v>
      </c>
      <c r="B5" s="10">
        <v>950</v>
      </c>
      <c r="C5" s="7" t="s">
        <v>7</v>
      </c>
      <c r="D5" s="9">
        <f>B5*G3</f>
        <v>17527.5</v>
      </c>
      <c r="E5" s="1"/>
      <c r="F5" s="1"/>
      <c r="G5" s="1"/>
    </row>
    <row r="6" spans="1:7" x14ac:dyDescent="0.3">
      <c r="A6" s="6" t="s">
        <v>9</v>
      </c>
      <c r="B6" s="10">
        <v>2000</v>
      </c>
      <c r="C6" s="7" t="s">
        <v>10</v>
      </c>
      <c r="D6" s="9">
        <f>B6*G3</f>
        <v>36900</v>
      </c>
      <c r="E6" s="1"/>
      <c r="F6" s="1"/>
      <c r="G6" s="1"/>
    </row>
    <row r="7" spans="1:7" x14ac:dyDescent="0.3">
      <c r="A7" s="6" t="s">
        <v>11</v>
      </c>
      <c r="B7" s="10">
        <v>4000</v>
      </c>
      <c r="C7" s="7" t="s">
        <v>7</v>
      </c>
      <c r="D7" s="9">
        <f>B7*G3</f>
        <v>73800</v>
      </c>
      <c r="E7" s="1"/>
      <c r="F7" s="1"/>
      <c r="G7" s="1"/>
    </row>
    <row r="8" spans="1:7" x14ac:dyDescent="0.3">
      <c r="A8" s="6" t="s">
        <v>12</v>
      </c>
      <c r="B8" s="10">
        <v>800</v>
      </c>
      <c r="C8" s="7" t="s">
        <v>13</v>
      </c>
      <c r="D8" s="9">
        <f>B8*G3</f>
        <v>14760</v>
      </c>
      <c r="E8" s="1"/>
      <c r="F8" s="1"/>
      <c r="G8" s="1"/>
    </row>
    <row r="9" spans="1:7" x14ac:dyDescent="0.3">
      <c r="A9" s="6" t="s">
        <v>14</v>
      </c>
      <c r="B9" s="10">
        <v>1200</v>
      </c>
      <c r="C9" s="7" t="s">
        <v>7</v>
      </c>
      <c r="D9" s="9">
        <f>B9*G3</f>
        <v>22140</v>
      </c>
      <c r="E9" s="1"/>
      <c r="F9" s="1"/>
      <c r="G9" s="1"/>
    </row>
    <row r="10" spans="1:7" x14ac:dyDescent="0.3">
      <c r="A10" s="6" t="s">
        <v>15</v>
      </c>
      <c r="B10" s="10">
        <v>750</v>
      </c>
      <c r="C10" s="7" t="s">
        <v>7</v>
      </c>
      <c r="D10" s="9">
        <f>B10*G3</f>
        <v>13837.5</v>
      </c>
      <c r="E10" s="1"/>
      <c r="F10" s="1"/>
      <c r="G10" s="1"/>
    </row>
    <row r="11" spans="1:7" x14ac:dyDescent="0.3">
      <c r="A11" s="6" t="s">
        <v>16</v>
      </c>
      <c r="B11" s="10">
        <v>1100</v>
      </c>
      <c r="C11" s="7" t="s">
        <v>13</v>
      </c>
      <c r="D11" s="9">
        <f>B11*G3</f>
        <v>20295</v>
      </c>
      <c r="E11" s="1"/>
      <c r="F11" s="1"/>
      <c r="G11" s="1"/>
    </row>
    <row r="12" spans="1:7" x14ac:dyDescent="0.3">
      <c r="A12" s="6" t="s">
        <v>17</v>
      </c>
      <c r="B12" s="15">
        <v>1700</v>
      </c>
      <c r="C12" s="7" t="s">
        <v>7</v>
      </c>
      <c r="D12" s="9">
        <f>B12*G3</f>
        <v>31365</v>
      </c>
      <c r="E12" s="1"/>
      <c r="F12" s="1"/>
      <c r="G12" s="1"/>
    </row>
    <row r="13" spans="1:7" x14ac:dyDescent="0.3">
      <c r="A13" s="14" t="s">
        <v>18</v>
      </c>
      <c r="B13" s="11"/>
      <c r="C13" s="13"/>
      <c r="D13" s="12"/>
      <c r="E13" s="1"/>
      <c r="F13" s="1"/>
      <c r="G1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400E1-C3DA-4534-A31F-68EF197E2B6D}">
  <dimension ref="A1:D10"/>
  <sheetViews>
    <sheetView workbookViewId="0">
      <selection activeCell="B9" sqref="B9:B10"/>
    </sheetView>
  </sheetViews>
  <sheetFormatPr defaultRowHeight="14.4" x14ac:dyDescent="0.3"/>
  <cols>
    <col min="1" max="1" width="24" customWidth="1"/>
    <col min="2" max="2" width="14.88671875" customWidth="1"/>
    <col min="3" max="3" width="14.77734375" customWidth="1"/>
    <col min="4" max="4" width="10.44140625" bestFit="1" customWidth="1"/>
  </cols>
  <sheetData>
    <row r="1" spans="1:4" x14ac:dyDescent="0.3">
      <c r="A1" t="s">
        <v>19</v>
      </c>
    </row>
    <row r="2" spans="1:4" x14ac:dyDescent="0.3">
      <c r="B2" t="s">
        <v>20</v>
      </c>
    </row>
    <row r="3" spans="1:4" x14ac:dyDescent="0.3">
      <c r="B3" t="s">
        <v>21</v>
      </c>
      <c r="C3" t="s">
        <v>22</v>
      </c>
      <c r="D3" t="s">
        <v>23</v>
      </c>
    </row>
    <row r="4" spans="1:4" x14ac:dyDescent="0.3">
      <c r="A4" t="s">
        <v>24</v>
      </c>
      <c r="B4">
        <v>120</v>
      </c>
      <c r="C4">
        <v>35</v>
      </c>
      <c r="D4" s="16">
        <f xml:space="preserve"> (B4*B9) + (C4 * B10)</f>
        <v>970</v>
      </c>
    </row>
    <row r="5" spans="1:4" x14ac:dyDescent="0.3">
      <c r="A5" t="s">
        <v>25</v>
      </c>
      <c r="B5">
        <v>147</v>
      </c>
      <c r="C5">
        <v>22</v>
      </c>
      <c r="D5" s="16">
        <f>B5*B9+C5*B10</f>
        <v>1146.5</v>
      </c>
    </row>
    <row r="6" spans="1:4" x14ac:dyDescent="0.3">
      <c r="A6" t="s">
        <v>26</v>
      </c>
      <c r="B6">
        <v>191</v>
      </c>
      <c r="C6">
        <v>15</v>
      </c>
      <c r="D6" s="16">
        <f>B6*B9+C6*B10</f>
        <v>1462.5</v>
      </c>
    </row>
    <row r="7" spans="1:4" x14ac:dyDescent="0.3">
      <c r="A7" t="s">
        <v>27</v>
      </c>
      <c r="B7">
        <v>458</v>
      </c>
      <c r="C7">
        <v>72</v>
      </c>
      <c r="D7" s="16">
        <f>B7*B9+C7*B10</f>
        <v>3579</v>
      </c>
    </row>
    <row r="9" spans="1:4" x14ac:dyDescent="0.3">
      <c r="A9" t="s">
        <v>28</v>
      </c>
      <c r="B9" s="16">
        <v>7.5</v>
      </c>
    </row>
    <row r="10" spans="1:4" x14ac:dyDescent="0.3">
      <c r="A10" t="s">
        <v>29</v>
      </c>
      <c r="B10" s="16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653D3-E78D-4CBF-B4FC-E2092F3F7E5D}">
  <dimension ref="A1:H21"/>
  <sheetViews>
    <sheetView workbookViewId="0">
      <selection activeCell="E25" sqref="E25"/>
    </sheetView>
  </sheetViews>
  <sheetFormatPr defaultRowHeight="14.4" x14ac:dyDescent="0.3"/>
  <cols>
    <col min="1" max="1" width="25.5546875" customWidth="1"/>
    <col min="4" max="4" width="13.77734375" customWidth="1"/>
    <col min="5" max="6" width="10.44140625" bestFit="1" customWidth="1"/>
    <col min="8" max="8" width="10.44140625" bestFit="1" customWidth="1"/>
  </cols>
  <sheetData>
    <row r="1" spans="1:8" x14ac:dyDescent="0.3">
      <c r="A1" t="s">
        <v>30</v>
      </c>
    </row>
    <row r="3" spans="1:8" x14ac:dyDescent="0.3">
      <c r="A3" t="s">
        <v>31</v>
      </c>
      <c r="B3" t="s">
        <v>32</v>
      </c>
      <c r="C3" t="s">
        <v>33</v>
      </c>
      <c r="D3" t="s">
        <v>34</v>
      </c>
      <c r="E3" s="16" t="s">
        <v>35</v>
      </c>
      <c r="F3" t="s">
        <v>36</v>
      </c>
      <c r="G3" t="s">
        <v>37</v>
      </c>
      <c r="H3" t="s">
        <v>38</v>
      </c>
    </row>
    <row r="4" spans="1:8" x14ac:dyDescent="0.3">
      <c r="A4" t="s">
        <v>39</v>
      </c>
      <c r="B4" t="s">
        <v>40</v>
      </c>
      <c r="C4" t="s">
        <v>41</v>
      </c>
      <c r="D4">
        <v>16</v>
      </c>
      <c r="E4" s="16">
        <f>D4*B19</f>
        <v>159.84</v>
      </c>
      <c r="F4" s="16">
        <f>E4*B20</f>
        <v>11.188800000000001</v>
      </c>
      <c r="G4" s="16">
        <f>E4*B21</f>
        <v>30.369600000000002</v>
      </c>
      <c r="H4" s="16">
        <f>E4-F4-G4</f>
        <v>118.28160000000001</v>
      </c>
    </row>
    <row r="5" spans="1:8" x14ac:dyDescent="0.3">
      <c r="A5" t="s">
        <v>42</v>
      </c>
      <c r="B5" t="s">
        <v>43</v>
      </c>
      <c r="C5" t="s">
        <v>44</v>
      </c>
      <c r="D5">
        <v>18</v>
      </c>
      <c r="E5" s="16">
        <f>D5*B19</f>
        <v>179.82</v>
      </c>
      <c r="F5" s="16">
        <f>E5*B20</f>
        <v>12.587400000000001</v>
      </c>
      <c r="G5" s="16">
        <f>E5*B21</f>
        <v>34.165799999999997</v>
      </c>
      <c r="H5" s="16">
        <f>E5-F5-G5</f>
        <v>133.0668</v>
      </c>
    </row>
    <row r="6" spans="1:8" x14ac:dyDescent="0.3">
      <c r="A6" t="s">
        <v>45</v>
      </c>
      <c r="B6" t="s">
        <v>46</v>
      </c>
      <c r="C6" t="s">
        <v>44</v>
      </c>
      <c r="D6">
        <v>22</v>
      </c>
      <c r="E6" s="16">
        <f>D6*B19</f>
        <v>219.78</v>
      </c>
      <c r="F6" s="16">
        <f>E6*B20</f>
        <v>15.384600000000001</v>
      </c>
      <c r="G6" s="16">
        <f>E6*B21</f>
        <v>41.758200000000002</v>
      </c>
      <c r="H6" s="16">
        <f t="shared" ref="H5:H16" si="0">E6-F6-G6</f>
        <v>162.63720000000001</v>
      </c>
    </row>
    <row r="7" spans="1:8" x14ac:dyDescent="0.3">
      <c r="A7" t="s">
        <v>47</v>
      </c>
      <c r="B7" t="s">
        <v>48</v>
      </c>
      <c r="C7" t="s">
        <v>49</v>
      </c>
      <c r="D7">
        <v>19</v>
      </c>
      <c r="E7" s="16">
        <f>D7*B19</f>
        <v>189.81</v>
      </c>
      <c r="F7" s="16">
        <f>E7*B20</f>
        <v>13.286700000000002</v>
      </c>
      <c r="G7" s="16">
        <f>E7*B21</f>
        <v>36.063900000000004</v>
      </c>
      <c r="H7" s="16">
        <f t="shared" si="0"/>
        <v>140.45940000000002</v>
      </c>
    </row>
    <row r="8" spans="1:8" x14ac:dyDescent="0.3">
      <c r="A8" t="s">
        <v>50</v>
      </c>
      <c r="B8" t="s">
        <v>51</v>
      </c>
      <c r="C8" t="s">
        <v>52</v>
      </c>
      <c r="D8">
        <v>18</v>
      </c>
      <c r="E8" s="16">
        <f>D8*B19</f>
        <v>179.82</v>
      </c>
      <c r="F8" s="16">
        <f>E8*B20</f>
        <v>12.587400000000001</v>
      </c>
      <c r="G8" s="16">
        <f>E8*B21</f>
        <v>34.165799999999997</v>
      </c>
      <c r="H8" s="16">
        <f t="shared" si="0"/>
        <v>133.0668</v>
      </c>
    </row>
    <row r="9" spans="1:8" x14ac:dyDescent="0.3">
      <c r="A9" t="s">
        <v>53</v>
      </c>
      <c r="B9" t="s">
        <v>51</v>
      </c>
      <c r="C9" t="s">
        <v>54</v>
      </c>
      <c r="D9">
        <v>18</v>
      </c>
      <c r="E9" s="16">
        <f>D9*B19</f>
        <v>179.82</v>
      </c>
      <c r="F9" s="16">
        <f>E9*B20</f>
        <v>12.587400000000001</v>
      </c>
      <c r="G9" s="16">
        <f>E9*B21</f>
        <v>34.165799999999997</v>
      </c>
      <c r="H9" s="16">
        <f t="shared" si="0"/>
        <v>133.0668</v>
      </c>
    </row>
    <row r="10" spans="1:8" x14ac:dyDescent="0.3">
      <c r="A10" t="s">
        <v>55</v>
      </c>
      <c r="B10" t="s">
        <v>56</v>
      </c>
      <c r="C10" t="s">
        <v>57</v>
      </c>
      <c r="D10">
        <v>12</v>
      </c>
      <c r="E10" s="16">
        <f>D10*B19</f>
        <v>119.88</v>
      </c>
      <c r="F10" s="16">
        <f>E10*B20</f>
        <v>8.3916000000000004</v>
      </c>
      <c r="G10" s="16">
        <f>E10*B21</f>
        <v>22.777200000000001</v>
      </c>
      <c r="H10" s="16">
        <f t="shared" si="0"/>
        <v>88.711199999999991</v>
      </c>
    </row>
    <row r="11" spans="1:8" x14ac:dyDescent="0.3">
      <c r="A11" t="s">
        <v>58</v>
      </c>
      <c r="B11" t="s">
        <v>59</v>
      </c>
      <c r="C11" t="s">
        <v>60</v>
      </c>
      <c r="D11">
        <v>16</v>
      </c>
      <c r="E11" s="16">
        <f>D11*B19</f>
        <v>159.84</v>
      </c>
      <c r="F11" s="16">
        <f>E11*B20</f>
        <v>11.188800000000001</v>
      </c>
      <c r="G11" s="16">
        <f>E11*B21</f>
        <v>30.369600000000002</v>
      </c>
      <c r="H11" s="16">
        <f t="shared" si="0"/>
        <v>118.28160000000001</v>
      </c>
    </row>
    <row r="12" spans="1:8" x14ac:dyDescent="0.3">
      <c r="A12" t="s">
        <v>61</v>
      </c>
      <c r="B12" t="s">
        <v>62</v>
      </c>
      <c r="C12" t="s">
        <v>63</v>
      </c>
      <c r="D12">
        <v>16</v>
      </c>
      <c r="E12" s="16">
        <f>D12*B19</f>
        <v>159.84</v>
      </c>
      <c r="F12" s="16">
        <f>E12*B20</f>
        <v>11.188800000000001</v>
      </c>
      <c r="G12" s="16">
        <f>E12*B21</f>
        <v>30.369600000000002</v>
      </c>
      <c r="H12" s="16">
        <f t="shared" si="0"/>
        <v>118.28160000000001</v>
      </c>
    </row>
    <row r="13" spans="1:8" x14ac:dyDescent="0.3">
      <c r="A13" t="s">
        <v>64</v>
      </c>
      <c r="B13" t="s">
        <v>65</v>
      </c>
      <c r="C13" t="s">
        <v>63</v>
      </c>
      <c r="D13">
        <v>18</v>
      </c>
      <c r="E13" s="16">
        <f>D13*B19</f>
        <v>179.82</v>
      </c>
      <c r="F13" s="16">
        <f>E13*B20</f>
        <v>12.587400000000001</v>
      </c>
      <c r="G13" s="16">
        <f>E13*B21</f>
        <v>34.165799999999997</v>
      </c>
      <c r="H13" s="16">
        <f t="shared" si="0"/>
        <v>133.0668</v>
      </c>
    </row>
    <row r="14" spans="1:8" x14ac:dyDescent="0.3">
      <c r="A14" t="s">
        <v>66</v>
      </c>
      <c r="B14" t="s">
        <v>67</v>
      </c>
      <c r="C14" t="s">
        <v>68</v>
      </c>
      <c r="D14">
        <v>22</v>
      </c>
      <c r="E14" s="16">
        <f>D14*B19</f>
        <v>219.78</v>
      </c>
      <c r="F14" s="16">
        <f>E14*B20</f>
        <v>15.384600000000001</v>
      </c>
      <c r="G14" s="16">
        <f>E14*B21</f>
        <v>41.758200000000002</v>
      </c>
      <c r="H14" s="16">
        <f t="shared" si="0"/>
        <v>162.63720000000001</v>
      </c>
    </row>
    <row r="15" spans="1:8" x14ac:dyDescent="0.3">
      <c r="A15" t="s">
        <v>69</v>
      </c>
      <c r="B15" t="s">
        <v>70</v>
      </c>
      <c r="C15" t="s">
        <v>71</v>
      </c>
      <c r="D15">
        <v>12</v>
      </c>
      <c r="E15" s="16">
        <f>D15*B19</f>
        <v>119.88</v>
      </c>
      <c r="F15" s="16">
        <f>E15*B20</f>
        <v>8.3916000000000004</v>
      </c>
      <c r="G15" s="16">
        <f>E15*B21</f>
        <v>22.777200000000001</v>
      </c>
      <c r="H15" s="16">
        <f t="shared" si="0"/>
        <v>88.711199999999991</v>
      </c>
    </row>
    <row r="16" spans="1:8" x14ac:dyDescent="0.3">
      <c r="A16" t="s">
        <v>72</v>
      </c>
      <c r="D16">
        <v>207</v>
      </c>
      <c r="E16" s="16">
        <f>SUM(E4:E15)</f>
        <v>2067.9299999999998</v>
      </c>
      <c r="F16" s="16">
        <f>SUM(F4:F15)</f>
        <v>144.75510000000003</v>
      </c>
      <c r="G16" s="16">
        <f>SUM(G4:G15)</f>
        <v>392.90669999999994</v>
      </c>
      <c r="H16" s="16">
        <f t="shared" si="0"/>
        <v>1530.2681999999998</v>
      </c>
    </row>
    <row r="19" spans="1:2" x14ac:dyDescent="0.3">
      <c r="A19" t="s">
        <v>73</v>
      </c>
      <c r="B19" s="16">
        <v>9.99</v>
      </c>
    </row>
    <row r="20" spans="1:2" x14ac:dyDescent="0.3">
      <c r="A20" t="s">
        <v>74</v>
      </c>
      <c r="B20" s="17">
        <v>7.0000000000000007E-2</v>
      </c>
    </row>
    <row r="21" spans="1:2" x14ac:dyDescent="0.3">
      <c r="A21" t="s">
        <v>75</v>
      </c>
      <c r="B21" s="17">
        <v>0.19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496C3-FEC7-4889-8027-216B7EE81866}">
  <dimension ref="A1:E12"/>
  <sheetViews>
    <sheetView workbookViewId="0">
      <selection activeCell="A8" sqref="A8:B12"/>
    </sheetView>
  </sheetViews>
  <sheetFormatPr defaultRowHeight="14.4" x14ac:dyDescent="0.3"/>
  <cols>
    <col min="1" max="1" width="23.5546875" customWidth="1"/>
    <col min="5" max="5" width="17.21875" customWidth="1"/>
  </cols>
  <sheetData>
    <row r="1" spans="1:5" x14ac:dyDescent="0.3">
      <c r="A1" t="s">
        <v>76</v>
      </c>
    </row>
    <row r="3" spans="1:5" x14ac:dyDescent="0.3">
      <c r="B3" t="s">
        <v>77</v>
      </c>
      <c r="C3" s="16" t="s">
        <v>23</v>
      </c>
      <c r="D3" s="16" t="s">
        <v>78</v>
      </c>
      <c r="E3" s="16" t="s">
        <v>79</v>
      </c>
    </row>
    <row r="4" spans="1:5" x14ac:dyDescent="0.3">
      <c r="A4" t="s">
        <v>80</v>
      </c>
      <c r="B4">
        <v>300</v>
      </c>
      <c r="C4" s="16">
        <f>B4*B10</f>
        <v>525</v>
      </c>
      <c r="D4" s="16">
        <f>B9*B4+B11*B4</f>
        <v>240</v>
      </c>
      <c r="E4" s="16">
        <f>C4-D4</f>
        <v>285</v>
      </c>
    </row>
    <row r="5" spans="1:5" x14ac:dyDescent="0.3">
      <c r="A5" t="s">
        <v>81</v>
      </c>
      <c r="B5">
        <v>200</v>
      </c>
      <c r="C5" s="16">
        <f>B5*B10</f>
        <v>350</v>
      </c>
      <c r="D5" s="16">
        <f>B9*B5+B11*B5</f>
        <v>160</v>
      </c>
      <c r="E5" s="16">
        <f>C5-D5</f>
        <v>190</v>
      </c>
    </row>
    <row r="6" spans="1:5" x14ac:dyDescent="0.3">
      <c r="A6" t="s">
        <v>82</v>
      </c>
      <c r="B6">
        <v>450</v>
      </c>
      <c r="C6" s="16">
        <f>B6*B10</f>
        <v>787.5</v>
      </c>
      <c r="D6" s="16">
        <f>B9*B6+B11*B6</f>
        <v>360</v>
      </c>
      <c r="E6" s="16">
        <f>C6-D6</f>
        <v>427.5</v>
      </c>
    </row>
    <row r="7" spans="1:5" x14ac:dyDescent="0.3">
      <c r="C7" s="16"/>
      <c r="D7" s="16"/>
      <c r="E7" s="16"/>
    </row>
    <row r="8" spans="1:5" x14ac:dyDescent="0.3">
      <c r="A8" s="16"/>
      <c r="B8" s="16"/>
    </row>
    <row r="9" spans="1:5" x14ac:dyDescent="0.3">
      <c r="A9" s="16" t="s">
        <v>83</v>
      </c>
      <c r="B9" s="16">
        <v>0.32</v>
      </c>
    </row>
    <row r="10" spans="1:5" x14ac:dyDescent="0.3">
      <c r="A10" s="16" t="s">
        <v>84</v>
      </c>
      <c r="B10" s="16">
        <v>1.75</v>
      </c>
    </row>
    <row r="11" spans="1:5" x14ac:dyDescent="0.3">
      <c r="A11" s="16" t="s">
        <v>85</v>
      </c>
      <c r="B11" s="16">
        <v>0.48</v>
      </c>
    </row>
    <row r="12" spans="1:5" x14ac:dyDescent="0.3">
      <c r="A12" s="16" t="s">
        <v>86</v>
      </c>
      <c r="B1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4145C-95AB-4A8A-98EC-1268F8F5E805}">
  <dimension ref="A1:F7"/>
  <sheetViews>
    <sheetView tabSelected="1" workbookViewId="0">
      <selection activeCell="C8" sqref="C8"/>
    </sheetView>
  </sheetViews>
  <sheetFormatPr defaultRowHeight="14.4" x14ac:dyDescent="0.3"/>
  <cols>
    <col min="1" max="1" width="17.77734375" customWidth="1"/>
    <col min="2" max="2" width="10.6640625" bestFit="1" customWidth="1"/>
    <col min="5" max="5" width="14.6640625" customWidth="1"/>
  </cols>
  <sheetData>
    <row r="1" spans="1:6" x14ac:dyDescent="0.3">
      <c r="A1" t="s">
        <v>87</v>
      </c>
    </row>
    <row r="3" spans="1:6" x14ac:dyDescent="0.3">
      <c r="B3" t="s">
        <v>88</v>
      </c>
      <c r="C3" t="s">
        <v>89</v>
      </c>
    </row>
    <row r="4" spans="1:6" x14ac:dyDescent="0.3">
      <c r="A4" t="s">
        <v>77</v>
      </c>
      <c r="B4" s="18">
        <v>781311</v>
      </c>
      <c r="C4">
        <f>B4*F4</f>
        <v>48441.281999999999</v>
      </c>
      <c r="E4" t="s">
        <v>90</v>
      </c>
      <c r="F4" s="17">
        <v>6.2E-2</v>
      </c>
    </row>
    <row r="5" spans="1:6" x14ac:dyDescent="0.3">
      <c r="A5" t="s">
        <v>91</v>
      </c>
      <c r="B5" s="18">
        <v>236966</v>
      </c>
      <c r="C5">
        <f>B5*F5</f>
        <v>3080.558</v>
      </c>
      <c r="E5" t="s">
        <v>92</v>
      </c>
      <c r="F5" s="17">
        <v>1.2999999999999999E-2</v>
      </c>
    </row>
    <row r="6" spans="1:6" x14ac:dyDescent="0.3">
      <c r="A6" t="s">
        <v>93</v>
      </c>
      <c r="B6" s="18">
        <v>106392</v>
      </c>
      <c r="C6">
        <f>B6*F6</f>
        <v>3085.3679999999999</v>
      </c>
      <c r="E6" t="s">
        <v>94</v>
      </c>
      <c r="F6" s="17">
        <v>2.9000000000000001E-2</v>
      </c>
    </row>
    <row r="7" spans="1:6" x14ac:dyDescent="0.3">
      <c r="A7" t="s">
        <v>95</v>
      </c>
      <c r="B7" s="18">
        <v>437953</v>
      </c>
      <c r="C7">
        <f>C4-C5-C6</f>
        <v>42275.356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1</vt:lpstr>
      <vt:lpstr>question 2</vt:lpstr>
      <vt:lpstr>question 3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 Yadav</dc:creator>
  <cp:lastModifiedBy>Paras Yadav</cp:lastModifiedBy>
  <dcterms:created xsi:type="dcterms:W3CDTF">2026-08-04T11:52:26Z</dcterms:created>
  <dcterms:modified xsi:type="dcterms:W3CDTF">2026-08-04T13:42:17Z</dcterms:modified>
</cp:coreProperties>
</file>