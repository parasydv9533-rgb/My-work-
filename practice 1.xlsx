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excal practice\"/>
    </mc:Choice>
  </mc:AlternateContent>
  <xr:revisionPtr revIDLastSave="0" documentId="13_ncr:1_{B6F31FA0-191D-42B2-AEFF-4D125AF8A725}" xr6:coauthVersionLast="47" xr6:coauthVersionMax="47" xr10:uidLastSave="{00000000-0000-0000-0000-000000000000}"/>
  <bookViews>
    <workbookView xWindow="-72" yWindow="468" windowWidth="11964" windowHeight="11832" firstSheet="2" activeTab="4" xr2:uid="{D7EBE495-BD7B-45EC-9E1F-67BFE6312255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definedNames>
    <definedName name="_xlnm.Print_Area" localSheetId="1">'question 2'!$A$1:$C$14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C11" i="5"/>
  <c r="C10" i="5"/>
  <c r="C9" i="5"/>
  <c r="C8" i="5"/>
  <c r="C7" i="5"/>
  <c r="C6" i="5"/>
  <c r="C5" i="5"/>
  <c r="C4" i="5"/>
  <c r="C10" i="4"/>
  <c r="C9" i="4"/>
  <c r="C8" i="4"/>
  <c r="C7" i="4"/>
  <c r="C6" i="4"/>
  <c r="C5" i="4"/>
  <c r="C4" i="4"/>
  <c r="D10" i="4"/>
  <c r="D9" i="4"/>
  <c r="D8" i="4"/>
  <c r="D7" i="4"/>
  <c r="D6" i="4"/>
  <c r="D5" i="4"/>
  <c r="D4" i="4"/>
  <c r="G3" i="4"/>
  <c r="E5" i="3"/>
  <c r="D5" i="3"/>
  <c r="C5" i="3"/>
  <c r="B5" i="3"/>
</calcChain>
</file>

<file path=xl/sharedStrings.xml><?xml version="1.0" encoding="utf-8"?>
<sst xmlns="http://schemas.openxmlformats.org/spreadsheetml/2006/main" count="185" uniqueCount="147">
  <si>
    <t>Call ID</t>
  </si>
  <si>
    <t>Date</t>
  </si>
  <si>
    <t>Type of Call</t>
  </si>
  <si>
    <t>Description</t>
  </si>
  <si>
    <t>Action Taken</t>
  </si>
  <si>
    <t>z12866</t>
  </si>
  <si>
    <t>Product enquiry</t>
  </si>
  <si>
    <t>Is item waterproof</t>
  </si>
  <si>
    <t>None needed</t>
  </si>
  <si>
    <t>z16620</t>
  </si>
  <si>
    <t>Stores enquiry</t>
  </si>
  <si>
    <t>Opening hours enquiry</t>
  </si>
  <si>
    <t>z44569</t>
  </si>
  <si>
    <t>Delivery enquiry</t>
  </si>
  <si>
    <t>Not arrived</t>
  </si>
  <si>
    <t>Phone customer services</t>
  </si>
  <si>
    <t>z11234</t>
  </si>
  <si>
    <t>z11235</t>
  </si>
  <si>
    <t>Website problem</t>
  </si>
  <si>
    <t>Order disappeared from basket after adding extra 4th item and then deleting it</t>
  </si>
  <si>
    <t>Details sent to website team</t>
  </si>
  <si>
    <t>z11580</t>
  </si>
  <si>
    <t>Customer Complaint</t>
  </si>
  <si>
    <t>Item missing</t>
  </si>
  <si>
    <t>z11970</t>
  </si>
  <si>
    <t>Wrong size sent</t>
  </si>
  <si>
    <t>Returns label emailed</t>
  </si>
  <si>
    <t>z12865</t>
  </si>
  <si>
    <t>Details sent to accounts team</t>
  </si>
  <si>
    <t>z12901</t>
  </si>
  <si>
    <t>Wrong colour sent</t>
  </si>
  <si>
    <t>z14110</t>
  </si>
  <si>
    <t>Payment enquiry</t>
  </si>
  <si>
    <t>Double payment taken</t>
  </si>
  <si>
    <t>z14233</t>
  </si>
  <si>
    <t>z14356</t>
  </si>
  <si>
    <t>Website down</t>
  </si>
  <si>
    <t>z16770</t>
  </si>
  <si>
    <t>z44867</t>
  </si>
  <si>
    <t>Sent wrong size</t>
  </si>
  <si>
    <t>z77483</t>
  </si>
  <si>
    <t>Query re expected delivery date</t>
  </si>
  <si>
    <t>z44281</t>
  </si>
  <si>
    <t>Can't choose any sizes apart from 8 on the website</t>
  </si>
  <si>
    <t>z89135</t>
  </si>
  <si>
    <t>Payment blocked</t>
  </si>
  <si>
    <t>z22190</t>
  </si>
  <si>
    <t>Money not taken from account</t>
  </si>
  <si>
    <t>z44282</t>
  </si>
  <si>
    <t>Goods damaged</t>
  </si>
  <si>
    <t>z89134</t>
  </si>
  <si>
    <t>Sent wrong colour - has already ordered the replacement item</t>
  </si>
  <si>
    <t>z56435</t>
  </si>
  <si>
    <t>Does item have pockets</t>
  </si>
  <si>
    <t>z22191</t>
  </si>
  <si>
    <t>London store details</t>
  </si>
  <si>
    <t>Catalog Order Enquiries - December 202</t>
  </si>
  <si>
    <t>Orders for Summer Sale</t>
  </si>
  <si>
    <t>Order Number</t>
  </si>
  <si>
    <t>Order Cost</t>
  </si>
  <si>
    <t>Sale Reduction</t>
  </si>
  <si>
    <t>Final Order Cost</t>
  </si>
  <si>
    <t>D14359</t>
  </si>
  <si>
    <t>£15,600.00</t>
  </si>
  <si>
    <t>£2,340.00</t>
  </si>
  <si>
    <t>£13,260.00</t>
  </si>
  <si>
    <t>D14360</t>
  </si>
  <si>
    <t>£12,500.00</t>
  </si>
  <si>
    <t>£1,875.00</t>
  </si>
  <si>
    <t>£10,625.00</t>
  </si>
  <si>
    <t>D14361</t>
  </si>
  <si>
    <t>£9,880.00</t>
  </si>
  <si>
    <t>£1,482.00</t>
  </si>
  <si>
    <t>£8,398.00</t>
  </si>
  <si>
    <t>D14362</t>
  </si>
  <si>
    <t>£11,230.00</t>
  </si>
  <si>
    <t>£1,684.50</t>
  </si>
  <si>
    <t>£9,545.50</t>
  </si>
  <si>
    <t>D14363</t>
  </si>
  <si>
    <t>£24,750.00</t>
  </si>
  <si>
    <t>£3,712.50</t>
  </si>
  <si>
    <t>£21,037.50</t>
  </si>
  <si>
    <t>D14364</t>
  </si>
  <si>
    <t>£8,600.00</t>
  </si>
  <si>
    <t>£1,290.00</t>
  </si>
  <si>
    <t>£7,310.00</t>
  </si>
  <si>
    <t>D14365</t>
  </si>
  <si>
    <t>£14,700.00</t>
  </si>
  <si>
    <t>£2,205.00</t>
  </si>
  <si>
    <t>£12,495.00</t>
  </si>
  <si>
    <t>D14366</t>
  </si>
  <si>
    <t>£21,350.00</t>
  </si>
  <si>
    <t>£3,202.50</t>
  </si>
  <si>
    <t>£18,147.50</t>
  </si>
  <si>
    <t>D14367</t>
  </si>
  <si>
    <t>£19,000.00</t>
  </si>
  <si>
    <t>£2,850.00</t>
  </si>
  <si>
    <t>£16,150.00</t>
  </si>
  <si>
    <t>D14368</t>
  </si>
  <si>
    <t>£16,450.00</t>
  </si>
  <si>
    <t>£2,467.50</t>
  </si>
  <si>
    <t>£13,982.50</t>
  </si>
  <si>
    <t>TOTAL</t>
  </si>
  <si>
    <t>£1,54,060.00</t>
  </si>
  <si>
    <t>£23,109.00</t>
  </si>
  <si>
    <t>£1,30,951.00</t>
  </si>
  <si>
    <t>Cake Friday Stats</t>
  </si>
  <si>
    <t>4C</t>
  </si>
  <si>
    <t>4G</t>
  </si>
  <si>
    <t>4W</t>
  </si>
  <si>
    <t>4S</t>
  </si>
  <si>
    <t>Children in Class</t>
  </si>
  <si>
    <t>Cakes Needed</t>
  </si>
  <si>
    <t>Cakes per child</t>
  </si>
  <si>
    <t>*plus add 2 cakes for each class for the teachers!</t>
  </si>
  <si>
    <t>Holiday Spending Money - European Trip</t>
  </si>
  <si>
    <t>Static Rates</t>
  </si>
  <si>
    <t>Family Member</t>
  </si>
  <si>
    <t>UK £ Sterling</t>
  </si>
  <si>
    <t>Euros</t>
  </si>
  <si>
    <t>Czech Korunas</t>
  </si>
  <si>
    <t>Euro rate</t>
  </si>
  <si>
    <t>Dad</t>
  </si>
  <si>
    <t>Czech Koruna rate</t>
  </si>
  <si>
    <t>Mum</t>
  </si>
  <si>
    <t>Annie</t>
  </si>
  <si>
    <t>Josh</t>
  </si>
  <si>
    <t>Sarah</t>
  </si>
  <si>
    <t>Grandma</t>
  </si>
  <si>
    <t>Grandpa</t>
  </si>
  <si>
    <t>FAMILY TOTAL:</t>
  </si>
  <si>
    <t>Printer Cartridge Reps Commission for This Month Using Single IF</t>
  </si>
  <si>
    <t>Sales Rep</t>
  </si>
  <si>
    <t>Sales</t>
  </si>
  <si>
    <t>Commission This Month</t>
  </si>
  <si>
    <t>Emily</t>
  </si>
  <si>
    <t>Rob</t>
  </si>
  <si>
    <t>Threshold</t>
  </si>
  <si>
    <t>£30,000</t>
  </si>
  <si>
    <t>Michael</t>
  </si>
  <si>
    <t>High Rate</t>
  </si>
  <si>
    <t>Francine</t>
  </si>
  <si>
    <t>Low Rate</t>
  </si>
  <si>
    <t>Mircea</t>
  </si>
  <si>
    <t>Helena</t>
  </si>
  <si>
    <t>Bridget</t>
  </si>
  <si>
    <t>Paolo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</si>
</sst>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D1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5" fillId="0" borderId="0" xfId="0" applyFont="1"/>
    <xf numFmtId="0" fontId="0" fillId="3" borderId="0" xfId="0" applyFill="1"/>
    <xf numFmtId="0" fontId="1" fillId="0" borderId="0" xfId="0" applyFont="1" applyBorder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ED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86EA-E30C-40B0-A10A-BB8C2001901E}">
  <dimension ref="A1:E49"/>
  <sheetViews>
    <sheetView topLeftCell="A2" workbookViewId="0">
      <selection activeCell="G4" sqref="G4"/>
    </sheetView>
  </sheetViews>
  <sheetFormatPr defaultRowHeight="14.4" x14ac:dyDescent="0.3"/>
  <cols>
    <col min="2" max="2" width="10.33203125" bestFit="1" customWidth="1"/>
    <col min="3" max="3" width="21.44140625" customWidth="1"/>
    <col min="4" max="4" width="64.88671875" customWidth="1"/>
    <col min="5" max="5" width="29.21875" customWidth="1"/>
  </cols>
  <sheetData>
    <row r="1" spans="1:5" x14ac:dyDescent="0.3">
      <c r="A1" s="4" t="s">
        <v>56</v>
      </c>
      <c r="B1" s="4"/>
      <c r="C1" s="4"/>
    </row>
    <row r="2" spans="1:5" x14ac:dyDescent="0.3">
      <c r="B2" s="1"/>
    </row>
    <row r="3" spans="1:5" x14ac:dyDescent="0.3">
      <c r="B3" s="1"/>
    </row>
    <row r="4" spans="1:5" x14ac:dyDescent="0.3">
      <c r="A4" s="9" t="s">
        <v>0</v>
      </c>
      <c r="B4" s="11" t="s">
        <v>1</v>
      </c>
      <c r="C4" s="6" t="s">
        <v>2</v>
      </c>
      <c r="D4" s="6" t="s">
        <v>3</v>
      </c>
      <c r="E4" s="7" t="s">
        <v>4</v>
      </c>
    </row>
    <row r="5" spans="1:5" x14ac:dyDescent="0.3">
      <c r="A5" s="10" t="s">
        <v>5</v>
      </c>
      <c r="B5" s="12">
        <v>43833</v>
      </c>
      <c r="C5" s="8" t="s">
        <v>6</v>
      </c>
      <c r="D5" s="8" t="s">
        <v>7</v>
      </c>
      <c r="E5" s="8" t="s">
        <v>8</v>
      </c>
    </row>
    <row r="6" spans="1:5" x14ac:dyDescent="0.3">
      <c r="A6" s="10" t="s">
        <v>9</v>
      </c>
      <c r="B6" s="12">
        <v>43835</v>
      </c>
      <c r="C6" s="8" t="s">
        <v>10</v>
      </c>
      <c r="D6" s="8" t="s">
        <v>11</v>
      </c>
      <c r="E6" s="8" t="s">
        <v>8</v>
      </c>
    </row>
    <row r="7" spans="1:5" x14ac:dyDescent="0.3">
      <c r="A7" s="10" t="s">
        <v>12</v>
      </c>
      <c r="B7" s="12">
        <v>44167</v>
      </c>
      <c r="C7" s="8" t="s">
        <v>13</v>
      </c>
      <c r="D7" s="8" t="s">
        <v>14</v>
      </c>
      <c r="E7" s="8" t="s">
        <v>15</v>
      </c>
    </row>
    <row r="8" spans="1:5" x14ac:dyDescent="0.3">
      <c r="A8" s="10" t="s">
        <v>16</v>
      </c>
      <c r="B8" s="12">
        <v>44167</v>
      </c>
      <c r="C8" s="8" t="s">
        <v>13</v>
      </c>
      <c r="D8" s="8" t="s">
        <v>14</v>
      </c>
      <c r="E8" s="8" t="s">
        <v>15</v>
      </c>
    </row>
    <row r="9" spans="1:5" x14ac:dyDescent="0.3">
      <c r="A9" s="10" t="s">
        <v>17</v>
      </c>
      <c r="B9" s="12">
        <v>44167</v>
      </c>
      <c r="C9" s="8" t="s">
        <v>18</v>
      </c>
      <c r="D9" s="8" t="s">
        <v>19</v>
      </c>
      <c r="E9" s="8" t="s">
        <v>20</v>
      </c>
    </row>
    <row r="10" spans="1:5" x14ac:dyDescent="0.3">
      <c r="A10" s="10" t="s">
        <v>21</v>
      </c>
      <c r="B10" s="12">
        <v>44167</v>
      </c>
      <c r="C10" s="8" t="s">
        <v>22</v>
      </c>
      <c r="D10" s="8" t="s">
        <v>23</v>
      </c>
      <c r="E10" s="8" t="s">
        <v>15</v>
      </c>
    </row>
    <row r="11" spans="1:5" x14ac:dyDescent="0.3">
      <c r="A11" s="10" t="s">
        <v>24</v>
      </c>
      <c r="B11" s="12">
        <v>44168</v>
      </c>
      <c r="C11" s="8" t="s">
        <v>22</v>
      </c>
      <c r="D11" s="8" t="s">
        <v>25</v>
      </c>
      <c r="E11" s="8" t="s">
        <v>26</v>
      </c>
    </row>
    <row r="12" spans="1:5" x14ac:dyDescent="0.3">
      <c r="A12" s="10" t="s">
        <v>27</v>
      </c>
      <c r="B12" s="12">
        <v>44168</v>
      </c>
      <c r="C12" s="8" t="s">
        <v>13</v>
      </c>
      <c r="D12" s="8" t="s">
        <v>14</v>
      </c>
      <c r="E12" s="8" t="s">
        <v>28</v>
      </c>
    </row>
    <row r="13" spans="1:5" x14ac:dyDescent="0.3">
      <c r="A13" s="10" t="s">
        <v>29</v>
      </c>
      <c r="B13" s="12">
        <v>44169</v>
      </c>
      <c r="C13" s="8" t="s">
        <v>22</v>
      </c>
      <c r="D13" s="8" t="s">
        <v>30</v>
      </c>
      <c r="E13" s="8" t="s">
        <v>26</v>
      </c>
    </row>
    <row r="14" spans="1:5" x14ac:dyDescent="0.3">
      <c r="A14" s="10" t="s">
        <v>31</v>
      </c>
      <c r="B14" s="12">
        <v>44169</v>
      </c>
      <c r="C14" s="8" t="s">
        <v>32</v>
      </c>
      <c r="D14" s="8" t="s">
        <v>33</v>
      </c>
      <c r="E14" s="8" t="s">
        <v>28</v>
      </c>
    </row>
    <row r="15" spans="1:5" x14ac:dyDescent="0.3">
      <c r="A15" s="10" t="s">
        <v>34</v>
      </c>
      <c r="B15" s="12">
        <v>44170</v>
      </c>
      <c r="C15" s="8" t="s">
        <v>10</v>
      </c>
      <c r="D15" s="8" t="s">
        <v>11</v>
      </c>
      <c r="E15" s="8" t="s">
        <v>8</v>
      </c>
    </row>
    <row r="16" spans="1:5" x14ac:dyDescent="0.3">
      <c r="A16" s="10" t="s">
        <v>35</v>
      </c>
      <c r="B16" s="12">
        <v>44170</v>
      </c>
      <c r="C16" s="8" t="s">
        <v>18</v>
      </c>
      <c r="D16" s="8" t="s">
        <v>36</v>
      </c>
      <c r="E16" s="8" t="s">
        <v>20</v>
      </c>
    </row>
    <row r="17" spans="1:5" x14ac:dyDescent="0.3">
      <c r="A17" s="10" t="s">
        <v>37</v>
      </c>
      <c r="B17" s="12">
        <v>44170</v>
      </c>
      <c r="C17" s="8" t="s">
        <v>18</v>
      </c>
      <c r="D17" s="8" t="s">
        <v>36</v>
      </c>
      <c r="E17" s="8" t="s">
        <v>20</v>
      </c>
    </row>
    <row r="18" spans="1:5" x14ac:dyDescent="0.3">
      <c r="A18" s="10" t="s">
        <v>38</v>
      </c>
      <c r="B18" s="12">
        <v>44171</v>
      </c>
      <c r="C18" s="8" t="s">
        <v>22</v>
      </c>
      <c r="D18" s="8" t="s">
        <v>39</v>
      </c>
      <c r="E18" s="8" t="s">
        <v>26</v>
      </c>
    </row>
    <row r="19" spans="1:5" x14ac:dyDescent="0.3">
      <c r="A19" s="10" t="s">
        <v>40</v>
      </c>
      <c r="B19" s="12">
        <v>44171</v>
      </c>
      <c r="C19" s="8" t="s">
        <v>13</v>
      </c>
      <c r="D19" s="8" t="s">
        <v>41</v>
      </c>
      <c r="E19" s="8" t="s">
        <v>8</v>
      </c>
    </row>
    <row r="20" spans="1:5" x14ac:dyDescent="0.3">
      <c r="A20" s="10" t="s">
        <v>42</v>
      </c>
      <c r="B20" s="12">
        <v>44172</v>
      </c>
      <c r="C20" s="8" t="s">
        <v>18</v>
      </c>
      <c r="D20" s="8" t="s">
        <v>43</v>
      </c>
      <c r="E20" s="8" t="s">
        <v>20</v>
      </c>
    </row>
    <row r="21" spans="1:5" x14ac:dyDescent="0.3">
      <c r="A21" s="10" t="s">
        <v>44</v>
      </c>
      <c r="B21" s="12">
        <v>44172</v>
      </c>
      <c r="C21" s="8" t="s">
        <v>32</v>
      </c>
      <c r="D21" s="8" t="s">
        <v>45</v>
      </c>
      <c r="E21" s="8" t="s">
        <v>28</v>
      </c>
    </row>
    <row r="22" spans="1:5" x14ac:dyDescent="0.3">
      <c r="A22" s="10" t="s">
        <v>46</v>
      </c>
      <c r="B22" s="12">
        <v>44173</v>
      </c>
      <c r="C22" s="8" t="s">
        <v>32</v>
      </c>
      <c r="D22" s="8" t="s">
        <v>47</v>
      </c>
      <c r="E22" s="8" t="s">
        <v>28</v>
      </c>
    </row>
    <row r="23" spans="1:5" x14ac:dyDescent="0.3">
      <c r="A23" s="10" t="s">
        <v>48</v>
      </c>
      <c r="B23" s="12">
        <v>44173</v>
      </c>
      <c r="C23" s="8" t="s">
        <v>22</v>
      </c>
      <c r="D23" s="8" t="s">
        <v>49</v>
      </c>
      <c r="E23" s="8" t="s">
        <v>26</v>
      </c>
    </row>
    <row r="24" spans="1:5" x14ac:dyDescent="0.3">
      <c r="A24" s="10" t="s">
        <v>50</v>
      </c>
      <c r="B24" s="12">
        <v>44176</v>
      </c>
      <c r="C24" s="8" t="s">
        <v>22</v>
      </c>
      <c r="D24" s="8" t="s">
        <v>51</v>
      </c>
      <c r="E24" s="8" t="s">
        <v>26</v>
      </c>
    </row>
    <row r="25" spans="1:5" x14ac:dyDescent="0.3">
      <c r="A25" s="10" t="s">
        <v>52</v>
      </c>
      <c r="B25" s="12">
        <v>44176</v>
      </c>
      <c r="C25" s="8" t="s">
        <v>6</v>
      </c>
      <c r="D25" s="8" t="s">
        <v>53</v>
      </c>
      <c r="E25" s="8" t="s">
        <v>8</v>
      </c>
    </row>
    <row r="26" spans="1:5" x14ac:dyDescent="0.3">
      <c r="A26" s="10" t="s">
        <v>54</v>
      </c>
      <c r="B26" s="12">
        <v>44176</v>
      </c>
      <c r="C26" s="8" t="s">
        <v>10</v>
      </c>
      <c r="D26" s="8" t="s">
        <v>55</v>
      </c>
      <c r="E26" s="8" t="s">
        <v>8</v>
      </c>
    </row>
    <row r="27" spans="1:5" x14ac:dyDescent="0.3">
      <c r="E27" s="2"/>
    </row>
    <row r="28" spans="1:5" x14ac:dyDescent="0.3">
      <c r="B28" s="1"/>
      <c r="E28" s="2"/>
    </row>
    <row r="29" spans="1:5" x14ac:dyDescent="0.3">
      <c r="B29" s="1"/>
      <c r="E29" s="2"/>
    </row>
    <row r="30" spans="1:5" x14ac:dyDescent="0.3">
      <c r="B30" s="1"/>
      <c r="E30" s="2"/>
    </row>
    <row r="31" spans="1:5" x14ac:dyDescent="0.3">
      <c r="B31" s="1"/>
      <c r="E31" s="2"/>
    </row>
    <row r="32" spans="1:5" x14ac:dyDescent="0.3">
      <c r="B32" s="1"/>
      <c r="E32" s="2"/>
    </row>
    <row r="33" spans="2:5" x14ac:dyDescent="0.3">
      <c r="B33" s="1"/>
      <c r="E33" s="2"/>
    </row>
    <row r="34" spans="2:5" x14ac:dyDescent="0.3">
      <c r="B34" s="1"/>
      <c r="E34" s="2"/>
    </row>
    <row r="35" spans="2:5" x14ac:dyDescent="0.3">
      <c r="B35" s="1"/>
      <c r="E35" s="2"/>
    </row>
    <row r="36" spans="2:5" x14ac:dyDescent="0.3">
      <c r="B36" s="1"/>
      <c r="E36" s="2"/>
    </row>
    <row r="37" spans="2:5" x14ac:dyDescent="0.3">
      <c r="B37" s="1"/>
      <c r="E37" s="2"/>
    </row>
    <row r="38" spans="2:5" x14ac:dyDescent="0.3">
      <c r="B38" s="1"/>
      <c r="E38" s="2"/>
    </row>
    <row r="39" spans="2:5" x14ac:dyDescent="0.3">
      <c r="B39" s="1"/>
      <c r="E39" s="2"/>
    </row>
    <row r="40" spans="2:5" x14ac:dyDescent="0.3">
      <c r="B40" s="1"/>
      <c r="E40" s="2"/>
    </row>
    <row r="41" spans="2:5" x14ac:dyDescent="0.3">
      <c r="B41" s="1"/>
      <c r="E41" s="2"/>
    </row>
    <row r="42" spans="2:5" x14ac:dyDescent="0.3">
      <c r="B42" s="1"/>
      <c r="E42" s="2"/>
    </row>
    <row r="43" spans="2:5" x14ac:dyDescent="0.3">
      <c r="B43" s="1"/>
      <c r="E43" s="2"/>
    </row>
    <row r="44" spans="2:5" x14ac:dyDescent="0.3">
      <c r="B44" s="1"/>
      <c r="E44" s="2"/>
    </row>
    <row r="45" spans="2:5" x14ac:dyDescent="0.3">
      <c r="B45" s="1"/>
      <c r="E45" s="2"/>
    </row>
    <row r="46" spans="2:5" x14ac:dyDescent="0.3">
      <c r="B46" s="1"/>
      <c r="E46" s="2"/>
    </row>
    <row r="47" spans="2:5" x14ac:dyDescent="0.3">
      <c r="B47" s="1"/>
      <c r="E47" s="2"/>
    </row>
    <row r="48" spans="2:5" x14ac:dyDescent="0.3">
      <c r="B48" s="1"/>
      <c r="E48" s="2"/>
    </row>
    <row r="49" spans="2:5" x14ac:dyDescent="0.3">
      <c r="B49" s="1"/>
      <c r="E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DC16-793F-48AB-9B1F-7FF75EEBC6B4}">
  <dimension ref="A1:E15"/>
  <sheetViews>
    <sheetView workbookViewId="0">
      <selection activeCell="G11" sqref="G11"/>
    </sheetView>
  </sheetViews>
  <sheetFormatPr defaultRowHeight="14.4" x14ac:dyDescent="0.3"/>
  <cols>
    <col min="2" max="2" width="12.33203125" customWidth="1"/>
    <col min="3" max="3" width="13.88671875" customWidth="1"/>
    <col min="4" max="4" width="15.6640625" customWidth="1"/>
    <col min="5" max="5" width="14" bestFit="1" customWidth="1"/>
  </cols>
  <sheetData>
    <row r="1" spans="1:5" x14ac:dyDescent="0.3">
      <c r="A1" s="14"/>
    </row>
    <row r="2" spans="1:5" x14ac:dyDescent="0.3">
      <c r="B2" s="13" t="s">
        <v>57</v>
      </c>
      <c r="C2" s="13"/>
    </row>
    <row r="4" spans="1:5" x14ac:dyDescent="0.3">
      <c r="B4" s="15" t="s">
        <v>58</v>
      </c>
      <c r="C4" s="15" t="s">
        <v>59</v>
      </c>
      <c r="D4" s="15" t="s">
        <v>60</v>
      </c>
      <c r="E4" s="15" t="s">
        <v>61</v>
      </c>
    </row>
    <row r="5" spans="1:5" x14ac:dyDescent="0.3">
      <c r="B5" s="8" t="s">
        <v>62</v>
      </c>
      <c r="C5" s="8" t="s">
        <v>63</v>
      </c>
      <c r="D5" s="8" t="s">
        <v>64</v>
      </c>
      <c r="E5" s="8" t="s">
        <v>65</v>
      </c>
    </row>
    <row r="6" spans="1:5" x14ac:dyDescent="0.3">
      <c r="B6" s="8" t="s">
        <v>66</v>
      </c>
      <c r="C6" s="8" t="s">
        <v>67</v>
      </c>
      <c r="D6" s="8" t="s">
        <v>68</v>
      </c>
      <c r="E6" s="8" t="s">
        <v>69</v>
      </c>
    </row>
    <row r="7" spans="1:5" x14ac:dyDescent="0.3">
      <c r="B7" s="8" t="s">
        <v>70</v>
      </c>
      <c r="C7" s="8" t="s">
        <v>71</v>
      </c>
      <c r="D7" s="8" t="s">
        <v>72</v>
      </c>
      <c r="E7" s="8" t="s">
        <v>73</v>
      </c>
    </row>
    <row r="8" spans="1:5" x14ac:dyDescent="0.3">
      <c r="B8" s="8" t="s">
        <v>74</v>
      </c>
      <c r="C8" s="8" t="s">
        <v>75</v>
      </c>
      <c r="D8" s="8" t="s">
        <v>76</v>
      </c>
      <c r="E8" s="8" t="s">
        <v>77</v>
      </c>
    </row>
    <row r="9" spans="1:5" x14ac:dyDescent="0.3">
      <c r="B9" s="8" t="s">
        <v>78</v>
      </c>
      <c r="C9" s="8" t="s">
        <v>79</v>
      </c>
      <c r="D9" s="8" t="s">
        <v>80</v>
      </c>
      <c r="E9" s="8" t="s">
        <v>81</v>
      </c>
    </row>
    <row r="10" spans="1:5" x14ac:dyDescent="0.3">
      <c r="B10" s="8" t="s">
        <v>82</v>
      </c>
      <c r="C10" s="8" t="s">
        <v>83</v>
      </c>
      <c r="D10" s="8" t="s">
        <v>84</v>
      </c>
      <c r="E10" s="8" t="s">
        <v>85</v>
      </c>
    </row>
    <row r="11" spans="1:5" x14ac:dyDescent="0.3">
      <c r="B11" s="8" t="s">
        <v>86</v>
      </c>
      <c r="C11" s="8" t="s">
        <v>87</v>
      </c>
      <c r="D11" s="8" t="s">
        <v>88</v>
      </c>
      <c r="E11" s="8" t="s">
        <v>89</v>
      </c>
    </row>
    <row r="12" spans="1:5" x14ac:dyDescent="0.3">
      <c r="B12" s="8" t="s">
        <v>90</v>
      </c>
      <c r="C12" s="8" t="s">
        <v>91</v>
      </c>
      <c r="D12" s="8" t="s">
        <v>92</v>
      </c>
      <c r="E12" s="8" t="s">
        <v>93</v>
      </c>
    </row>
    <row r="13" spans="1:5" x14ac:dyDescent="0.3">
      <c r="B13" s="8" t="s">
        <v>94</v>
      </c>
      <c r="C13" s="8" t="s">
        <v>95</v>
      </c>
      <c r="D13" s="8" t="s">
        <v>96</v>
      </c>
      <c r="E13" s="8" t="s">
        <v>97</v>
      </c>
    </row>
    <row r="14" spans="1:5" x14ac:dyDescent="0.3">
      <c r="B14" s="8" t="s">
        <v>98</v>
      </c>
      <c r="C14" s="8" t="s">
        <v>99</v>
      </c>
      <c r="D14" s="8" t="s">
        <v>100</v>
      </c>
      <c r="E14" s="8" t="s">
        <v>101</v>
      </c>
    </row>
    <row r="15" spans="1:5" x14ac:dyDescent="0.3">
      <c r="B15" s="7" t="s">
        <v>102</v>
      </c>
      <c r="C15" s="7" t="s">
        <v>103</v>
      </c>
      <c r="D15" s="7" t="s">
        <v>104</v>
      </c>
      <c r="E15" s="7" t="s">
        <v>105</v>
      </c>
    </row>
  </sheetData>
  <pageMargins left="2.3622047244094491" right="2.3622047244094491" top="2.3622047244094491" bottom="2.3622047244094491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5507-73C2-411B-8DFA-AC159AD1FAD7}">
  <dimension ref="A1:E8"/>
  <sheetViews>
    <sheetView workbookViewId="0">
      <selection activeCell="E5" sqref="E5"/>
    </sheetView>
  </sheetViews>
  <sheetFormatPr defaultRowHeight="14.4" x14ac:dyDescent="0.3"/>
  <cols>
    <col min="1" max="1" width="20.21875" customWidth="1"/>
  </cols>
  <sheetData>
    <row r="1" spans="1:5" x14ac:dyDescent="0.3">
      <c r="A1" s="3" t="s">
        <v>106</v>
      </c>
      <c r="B1" s="3"/>
    </row>
    <row r="3" spans="1:5" x14ac:dyDescent="0.3">
      <c r="B3" s="5" t="s">
        <v>107</v>
      </c>
      <c r="C3" s="5" t="s">
        <v>108</v>
      </c>
      <c r="D3" s="5" t="s">
        <v>109</v>
      </c>
      <c r="E3" s="5" t="s">
        <v>110</v>
      </c>
    </row>
    <row r="4" spans="1:5" x14ac:dyDescent="0.3">
      <c r="A4" t="s">
        <v>111</v>
      </c>
      <c r="B4" s="5">
        <v>24</v>
      </c>
      <c r="C4" s="5">
        <v>22</v>
      </c>
      <c r="D4" s="5">
        <v>19</v>
      </c>
      <c r="E4" s="5">
        <v>27</v>
      </c>
    </row>
    <row r="5" spans="1:5" x14ac:dyDescent="0.3">
      <c r="A5" t="s">
        <v>112</v>
      </c>
      <c r="B5" s="5">
        <f>B4*$B$7+2</f>
        <v>74</v>
      </c>
      <c r="C5" s="5">
        <f>C4*$B$7+2</f>
        <v>68</v>
      </c>
      <c r="D5" s="5">
        <f>D4*$B$7+2</f>
        <v>59</v>
      </c>
      <c r="E5" s="5">
        <f>E4*$B$7+2</f>
        <v>83</v>
      </c>
    </row>
    <row r="7" spans="1:5" x14ac:dyDescent="0.3">
      <c r="A7" t="s">
        <v>113</v>
      </c>
      <c r="B7">
        <v>3</v>
      </c>
    </row>
    <row r="8" spans="1:5" x14ac:dyDescent="0.3">
      <c r="A8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6489-A8A5-4AA3-B11E-9C3396291037}">
  <dimension ref="A1:G11"/>
  <sheetViews>
    <sheetView workbookViewId="0">
      <selection activeCell="F10" sqref="F10"/>
    </sheetView>
  </sheetViews>
  <sheetFormatPr defaultRowHeight="14.4" x14ac:dyDescent="0.3"/>
  <cols>
    <col min="1" max="1" width="18.109375" customWidth="1"/>
    <col min="2" max="2" width="15.33203125" customWidth="1"/>
    <col min="4" max="4" width="13.6640625" customWidth="1"/>
    <col min="6" max="6" width="18" customWidth="1"/>
  </cols>
  <sheetData>
    <row r="1" spans="1:7" x14ac:dyDescent="0.3">
      <c r="A1" s="3" t="s">
        <v>115</v>
      </c>
      <c r="B1" s="3"/>
      <c r="C1" s="3"/>
      <c r="D1" s="3"/>
    </row>
    <row r="2" spans="1:7" x14ac:dyDescent="0.3">
      <c r="G2" t="s">
        <v>116</v>
      </c>
    </row>
    <row r="3" spans="1:7" x14ac:dyDescent="0.3">
      <c r="A3" t="s">
        <v>117</v>
      </c>
      <c r="B3" t="s">
        <v>118</v>
      </c>
      <c r="C3" t="s">
        <v>119</v>
      </c>
      <c r="D3" t="s">
        <v>120</v>
      </c>
      <c r="F3" t="s">
        <v>121</v>
      </c>
      <c r="G3">
        <f>0.95</f>
        <v>0.95</v>
      </c>
    </row>
    <row r="4" spans="1:7" x14ac:dyDescent="0.3">
      <c r="A4" t="s">
        <v>122</v>
      </c>
      <c r="B4">
        <v>500</v>
      </c>
      <c r="C4">
        <f>B4*$G$3</f>
        <v>475</v>
      </c>
      <c r="D4">
        <f>B4*$G$4</f>
        <v>15075</v>
      </c>
      <c r="F4" t="s">
        <v>123</v>
      </c>
      <c r="G4">
        <v>30.15</v>
      </c>
    </row>
    <row r="5" spans="1:7" x14ac:dyDescent="0.3">
      <c r="A5" t="s">
        <v>124</v>
      </c>
      <c r="B5">
        <v>500</v>
      </c>
      <c r="C5">
        <f t="shared" ref="C5:C10" si="0">B5*$G$3</f>
        <v>475</v>
      </c>
      <c r="D5">
        <f t="shared" ref="D5:D10" si="1">B5*$G$4</f>
        <v>15075</v>
      </c>
    </row>
    <row r="6" spans="1:7" x14ac:dyDescent="0.3">
      <c r="A6" t="s">
        <v>125</v>
      </c>
      <c r="B6">
        <v>150</v>
      </c>
      <c r="C6">
        <f t="shared" si="0"/>
        <v>142.5</v>
      </c>
      <c r="D6">
        <f t="shared" si="1"/>
        <v>4522.5</v>
      </c>
    </row>
    <row r="7" spans="1:7" x14ac:dyDescent="0.3">
      <c r="A7" t="s">
        <v>126</v>
      </c>
      <c r="B7">
        <v>150</v>
      </c>
      <c r="C7">
        <f t="shared" si="0"/>
        <v>142.5</v>
      </c>
      <c r="D7">
        <f t="shared" si="1"/>
        <v>4522.5</v>
      </c>
    </row>
    <row r="8" spans="1:7" x14ac:dyDescent="0.3">
      <c r="A8" t="s">
        <v>127</v>
      </c>
      <c r="B8">
        <v>200</v>
      </c>
      <c r="C8">
        <f t="shared" si="0"/>
        <v>190</v>
      </c>
      <c r="D8">
        <f t="shared" si="1"/>
        <v>6030</v>
      </c>
    </row>
    <row r="9" spans="1:7" x14ac:dyDescent="0.3">
      <c r="A9" t="s">
        <v>128</v>
      </c>
      <c r="B9">
        <v>300</v>
      </c>
      <c r="C9">
        <f t="shared" si="0"/>
        <v>285</v>
      </c>
      <c r="D9">
        <f t="shared" si="1"/>
        <v>9045</v>
      </c>
    </row>
    <row r="10" spans="1:7" x14ac:dyDescent="0.3">
      <c r="A10" t="s">
        <v>129</v>
      </c>
      <c r="B10">
        <v>300</v>
      </c>
      <c r="C10">
        <f t="shared" si="0"/>
        <v>285</v>
      </c>
      <c r="D10">
        <f t="shared" si="1"/>
        <v>9045</v>
      </c>
    </row>
    <row r="11" spans="1:7" x14ac:dyDescent="0.3">
      <c r="A11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9CD7-45EE-4889-9489-A370BC6BA293}">
  <dimension ref="A1:F12"/>
  <sheetViews>
    <sheetView tabSelected="1" workbookViewId="0">
      <selection activeCell="F12" sqref="F12"/>
    </sheetView>
  </sheetViews>
  <sheetFormatPr defaultRowHeight="14.4" x14ac:dyDescent="0.3"/>
  <cols>
    <col min="2" max="2" width="13.88671875" customWidth="1"/>
    <col min="3" max="3" width="9.109375" bestFit="1" customWidth="1"/>
    <col min="4" max="4" width="13.44140625" customWidth="1"/>
  </cols>
  <sheetData>
    <row r="1" spans="1:6" x14ac:dyDescent="0.3">
      <c r="A1" s="3" t="s">
        <v>131</v>
      </c>
      <c r="B1" s="3"/>
      <c r="C1" s="3"/>
      <c r="D1" s="3"/>
      <c r="E1" s="3"/>
      <c r="F1" s="3"/>
    </row>
    <row r="3" spans="1:6" x14ac:dyDescent="0.3">
      <c r="A3" t="s">
        <v>132</v>
      </c>
      <c r="B3" t="s">
        <v>133</v>
      </c>
      <c r="C3" t="s">
        <v>134</v>
      </c>
    </row>
    <row r="4" spans="1:6" x14ac:dyDescent="0.3">
      <c r="A4" t="s">
        <v>135</v>
      </c>
      <c r="B4" s="17">
        <v>25000</v>
      </c>
      <c r="C4" s="17">
        <f>IF(B4&gt;=$F$4,B4*$F$5,B4*$F$6)</f>
        <v>250</v>
      </c>
      <c r="E4" t="s">
        <v>137</v>
      </c>
      <c r="F4" t="s">
        <v>138</v>
      </c>
    </row>
    <row r="5" spans="1:6" x14ac:dyDescent="0.3">
      <c r="A5" t="s">
        <v>136</v>
      </c>
      <c r="B5" s="17">
        <v>19000</v>
      </c>
      <c r="C5" s="17">
        <f t="shared" ref="C5:C11" si="0">IF(B5&gt;=$F$4,B5*$F$5,B5*$F$6)</f>
        <v>190</v>
      </c>
      <c r="E5" t="s">
        <v>140</v>
      </c>
      <c r="F5" s="16">
        <v>0.2</v>
      </c>
    </row>
    <row r="6" spans="1:6" x14ac:dyDescent="0.3">
      <c r="A6" t="s">
        <v>139</v>
      </c>
      <c r="B6" s="17">
        <v>27500</v>
      </c>
      <c r="C6" s="17">
        <f t="shared" si="0"/>
        <v>275</v>
      </c>
      <c r="E6" t="s">
        <v>142</v>
      </c>
      <c r="F6" s="16">
        <v>0.01</v>
      </c>
    </row>
    <row r="7" spans="1:6" x14ac:dyDescent="0.3">
      <c r="A7" t="s">
        <v>141</v>
      </c>
      <c r="B7" s="17">
        <v>14000</v>
      </c>
      <c r="C7" s="17">
        <f t="shared" si="0"/>
        <v>140</v>
      </c>
      <c r="F7" s="16"/>
    </row>
    <row r="8" spans="1:6" x14ac:dyDescent="0.3">
      <c r="A8" t="s">
        <v>143</v>
      </c>
      <c r="B8" s="17">
        <v>33300</v>
      </c>
      <c r="C8" s="17">
        <f t="shared" si="0"/>
        <v>333</v>
      </c>
    </row>
    <row r="9" spans="1:6" x14ac:dyDescent="0.3">
      <c r="A9" t="s">
        <v>144</v>
      </c>
      <c r="B9" s="17">
        <v>41800</v>
      </c>
      <c r="C9" s="17">
        <f t="shared" si="0"/>
        <v>418</v>
      </c>
    </row>
    <row r="10" spans="1:6" x14ac:dyDescent="0.3">
      <c r="A10" t="s">
        <v>145</v>
      </c>
      <c r="B10" s="17">
        <v>17300</v>
      </c>
      <c r="C10" s="17">
        <f t="shared" si="0"/>
        <v>173</v>
      </c>
      <c r="F10" s="16"/>
    </row>
    <row r="11" spans="1:6" x14ac:dyDescent="0.3">
      <c r="A11" t="s">
        <v>146</v>
      </c>
      <c r="B11" s="17">
        <v>23800</v>
      </c>
      <c r="C11" s="17">
        <f t="shared" si="0"/>
        <v>238</v>
      </c>
      <c r="F11" s="16"/>
    </row>
    <row r="12" spans="1:6" x14ac:dyDescent="0.3">
      <c r="A12" t="s">
        <v>102</v>
      </c>
      <c r="B12" s="17">
        <v>201700</v>
      </c>
      <c r="C12" s="17">
        <f>SUM(C4:C11)</f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question 1</vt:lpstr>
      <vt:lpstr>question 2</vt:lpstr>
      <vt:lpstr>question 3</vt:lpstr>
      <vt:lpstr>question 4</vt:lpstr>
      <vt:lpstr>question 5</vt:lpstr>
      <vt:lpstr>'question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cp:lastPrinted>2026-07-28T12:23:48Z</cp:lastPrinted>
  <dcterms:created xsi:type="dcterms:W3CDTF">2026-07-28T11:56:23Z</dcterms:created>
  <dcterms:modified xsi:type="dcterms:W3CDTF">2026-07-28T13:09:43Z</dcterms:modified>
</cp:coreProperties>
</file>