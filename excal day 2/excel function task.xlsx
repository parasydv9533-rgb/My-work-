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ata\My-work-\excal day 2\"/>
    </mc:Choice>
  </mc:AlternateContent>
  <xr:revisionPtr revIDLastSave="0" documentId="13_ncr:1_{7B3937C7-331C-4ADC-B61A-F73868B89BA9}" xr6:coauthVersionLast="47" xr6:coauthVersionMax="47" xr10:uidLastSave="{00000000-0000-0000-0000-000000000000}"/>
  <bookViews>
    <workbookView xWindow="11568" yWindow="0" windowWidth="11964" windowHeight="11832" xr2:uid="{8A684AEE-343A-4123-8E23-4166A50F5CF0}"/>
  </bookViews>
  <sheets>
    <sheet name="excel function task" sheetId="1" r:id="rId1"/>
  </sheets>
  <definedNames>
    <definedName name="active">'excel function task'!$G$2:$G$11</definedName>
    <definedName name="Bonus">'excel function task'!$F$2:$F$11</definedName>
    <definedName name="city">'excel function task'!$D$2:$D$11</definedName>
    <definedName name="code">'excel function task'!$H$2:$H$11</definedName>
    <definedName name="confirm_password">'excel function task'!$K$2:$K$11</definedName>
    <definedName name="data_base">'excel function task'!$A$1:$K$11</definedName>
    <definedName name="department">'excel function task'!$C$2:$C$11</definedName>
    <definedName name="ID">'excel function task'!$A$2:$A$11</definedName>
    <definedName name="Name">'excel function task'!$B$2:$B$11</definedName>
    <definedName name="password">'excel function task'!$J$2:$J$11</definedName>
    <definedName name="Salary">'excel function task'!$E$2:$E$11</definedName>
    <definedName name="status">'excel function task'!$G$2:$G$11</definedName>
    <definedName name="Text_Number">'excel function task'!$I$2:$I$11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7" i="1" l="1"/>
  <c r="N164" i="1"/>
  <c r="O162" i="1"/>
  <c r="O161" i="1"/>
  <c r="O160" i="1"/>
  <c r="O159" i="1"/>
  <c r="O158" i="1"/>
  <c r="O157" i="1"/>
  <c r="O156" i="1"/>
  <c r="O155" i="1"/>
  <c r="O154" i="1"/>
  <c r="O153" i="1"/>
  <c r="N153" i="1" a="1"/>
  <c r="N153" i="1" s="1"/>
  <c r="I173" i="1"/>
  <c r="I172" i="1"/>
  <c r="I171" i="1"/>
  <c r="I170" i="1"/>
  <c r="I169" i="1"/>
  <c r="I168" i="1"/>
  <c r="I167" i="1"/>
  <c r="I166" i="1"/>
  <c r="I165" i="1"/>
  <c r="I164" i="1"/>
  <c r="H164" i="1" a="1"/>
  <c r="H164" i="1" s="1"/>
  <c r="I162" i="1"/>
  <c r="I161" i="1"/>
  <c r="I160" i="1"/>
  <c r="I159" i="1"/>
  <c r="I158" i="1"/>
  <c r="I157" i="1"/>
  <c r="I156" i="1"/>
  <c r="I155" i="1"/>
  <c r="I154" i="1"/>
  <c r="I153" i="1"/>
  <c r="H153" i="1" a="1"/>
  <c r="H153" i="1" s="1"/>
  <c r="Y130" i="1" a="1"/>
  <c r="Y130" i="1" s="1"/>
  <c r="Z130" i="1" s="1" a="1"/>
  <c r="Z130" i="1" s="1"/>
  <c r="P141" i="1" a="1"/>
  <c r="P141" i="1" s="1"/>
  <c r="Q141" i="1" s="1" a="1"/>
  <c r="Q141" i="1" s="1"/>
  <c r="P130" i="1" a="1"/>
  <c r="P130" i="1" s="1"/>
  <c r="Q130" i="1" s="1" a="1"/>
  <c r="Q130" i="1" s="1"/>
  <c r="I140" i="1" a="1"/>
  <c r="I140" i="1" s="1"/>
  <c r="H140" i="1" a="1"/>
  <c r="H140" i="1" s="1"/>
  <c r="I129" i="1" a="1"/>
  <c r="I129" i="1" s="1"/>
  <c r="H129" i="1" a="1"/>
  <c r="H129" i="1" s="1"/>
  <c r="W116" i="1"/>
  <c r="W115" i="1"/>
  <c r="W114" i="1"/>
  <c r="W113" i="1"/>
  <c r="W112" i="1"/>
  <c r="W111" i="1"/>
  <c r="W110" i="1"/>
  <c r="W109" i="1"/>
  <c r="W108" i="1"/>
  <c r="W107" i="1"/>
  <c r="V107" i="1" a="1"/>
  <c r="V107" i="1" s="1"/>
  <c r="P119" i="1" a="1"/>
  <c r="P119" i="1" s="1"/>
  <c r="Q119" i="1" s="1"/>
  <c r="Q116" i="1"/>
  <c r="Q115" i="1"/>
  <c r="P107" i="1" a="1"/>
  <c r="P107" i="1" s="1"/>
  <c r="Q107" i="1" s="1"/>
  <c r="I127" i="1"/>
  <c r="I126" i="1"/>
  <c r="I125" i="1"/>
  <c r="I124" i="1"/>
  <c r="I123" i="1"/>
  <c r="I122" i="1"/>
  <c r="I121" i="1"/>
  <c r="I120" i="1"/>
  <c r="I119" i="1"/>
  <c r="H118" i="1" a="1"/>
  <c r="H118" i="1" s="1"/>
  <c r="I118" i="1" s="1"/>
  <c r="H107" i="1" a="1"/>
  <c r="H107" i="1" s="1"/>
  <c r="I107" i="1" s="1"/>
  <c r="Q105" i="1"/>
  <c r="P96" i="1" a="1"/>
  <c r="P96" i="1" s="1"/>
  <c r="Q96" i="1" s="1"/>
  <c r="O94" i="1"/>
  <c r="O93" i="1"/>
  <c r="O92" i="1"/>
  <c r="O91" i="1"/>
  <c r="O90" i="1"/>
  <c r="O89" i="1"/>
  <c r="O88" i="1"/>
  <c r="N85" i="1" a="1"/>
  <c r="N85" i="1" s="1"/>
  <c r="O85" i="1" s="1"/>
  <c r="H96" i="1" a="1"/>
  <c r="H96" i="1" s="1"/>
  <c r="I96" i="1" s="1"/>
  <c r="H85" i="1" a="1"/>
  <c r="H85" i="1" s="1"/>
  <c r="I85" i="1" s="1"/>
  <c r="AA71" i="1"/>
  <c r="AA70" i="1"/>
  <c r="AA69" i="1"/>
  <c r="AA68" i="1"/>
  <c r="AA67" i="1"/>
  <c r="AA66" i="1"/>
  <c r="Z62" i="1" a="1"/>
  <c r="Z62" i="1" s="1"/>
  <c r="AA62" i="1" s="1"/>
  <c r="T80" i="1"/>
  <c r="T79" i="1"/>
  <c r="T78" i="1"/>
  <c r="T77" i="1"/>
  <c r="T76" i="1"/>
  <c r="T75" i="1"/>
  <c r="T74" i="1"/>
  <c r="T73" i="1"/>
  <c r="S73" i="1" a="1"/>
  <c r="S73" i="1" s="1"/>
  <c r="Q73" i="1" a="1"/>
  <c r="Q73" i="1" s="1"/>
  <c r="R73" i="1" s="1"/>
  <c r="R71" i="1"/>
  <c r="R70" i="1"/>
  <c r="R69" i="1"/>
  <c r="R68" i="1"/>
  <c r="R67" i="1"/>
  <c r="Q62" i="1" a="1"/>
  <c r="Q62" i="1" s="1"/>
  <c r="R62" i="1" s="1"/>
  <c r="I82" i="1"/>
  <c r="I81" i="1"/>
  <c r="I80" i="1"/>
  <c r="I79" i="1"/>
  <c r="I78" i="1"/>
  <c r="I77" i="1"/>
  <c r="I76" i="1"/>
  <c r="I75" i="1"/>
  <c r="I74" i="1"/>
  <c r="I73" i="1"/>
  <c r="H73" i="1" a="1"/>
  <c r="H73" i="1" s="1"/>
  <c r="H62" i="1" a="1"/>
  <c r="H62" i="1" s="1"/>
  <c r="I62" i="1" s="1"/>
  <c r="R47" i="1"/>
  <c r="R46" i="1"/>
  <c r="R45" i="1"/>
  <c r="R44" i="1"/>
  <c r="R43" i="1"/>
  <c r="R42" i="1"/>
  <c r="R41" i="1"/>
  <c r="R40" i="1"/>
  <c r="R39" i="1"/>
  <c r="R38" i="1"/>
  <c r="Q38" i="1" a="1"/>
  <c r="Q38" i="1" s="1"/>
  <c r="I60" i="1"/>
  <c r="I59" i="1"/>
  <c r="I58" i="1"/>
  <c r="I57" i="1"/>
  <c r="I56" i="1"/>
  <c r="I55" i="1"/>
  <c r="I54" i="1"/>
  <c r="I53" i="1"/>
  <c r="I52" i="1"/>
  <c r="I51" i="1"/>
  <c r="H51" i="1" a="1"/>
  <c r="H51" i="1" s="1"/>
  <c r="H50" i="1"/>
  <c r="H49" i="1"/>
  <c r="I47" i="1"/>
  <c r="I46" i="1"/>
  <c r="I45" i="1"/>
  <c r="I44" i="1"/>
  <c r="I43" i="1"/>
  <c r="I42" i="1"/>
  <c r="I41" i="1"/>
  <c r="I40" i="1"/>
  <c r="I39" i="1"/>
  <c r="I38" i="1"/>
  <c r="H38" i="1" a="1"/>
  <c r="H38" i="1" s="1"/>
  <c r="AC24" i="1"/>
  <c r="AC23" i="1"/>
  <c r="AC22" i="1"/>
  <c r="AC21" i="1"/>
  <c r="AC20" i="1"/>
  <c r="AC19" i="1"/>
  <c r="AC18" i="1"/>
  <c r="AC17" i="1"/>
  <c r="AC16" i="1"/>
  <c r="AC15" i="1"/>
  <c r="AB15" i="1" a="1"/>
  <c r="AB15" i="1" s="1"/>
  <c r="S35" i="1"/>
  <c r="S34" i="1"/>
  <c r="S33" i="1"/>
  <c r="S32" i="1"/>
  <c r="S31" i="1"/>
  <c r="S30" i="1"/>
  <c r="S29" i="1"/>
  <c r="S28" i="1"/>
  <c r="S27" i="1"/>
  <c r="S26" i="1"/>
  <c r="R26" i="1" a="1"/>
  <c r="R26" i="1" s="1"/>
  <c r="U24" i="1"/>
  <c r="U23" i="1"/>
  <c r="U22" i="1"/>
  <c r="U21" i="1"/>
  <c r="U20" i="1"/>
  <c r="U19" i="1"/>
  <c r="U18" i="1"/>
  <c r="U17" i="1"/>
  <c r="U16" i="1"/>
  <c r="U15" i="1"/>
  <c r="S15" i="1" a="1"/>
  <c r="S15" i="1" s="1"/>
  <c r="R15" i="1" a="1"/>
  <c r="R15" i="1" s="1"/>
  <c r="T15" i="1" s="1"/>
  <c r="I35" i="1"/>
  <c r="I34" i="1"/>
  <c r="I33" i="1"/>
  <c r="I32" i="1"/>
  <c r="I31" i="1"/>
  <c r="I30" i="1"/>
  <c r="I29" i="1"/>
  <c r="I28" i="1"/>
  <c r="I27" i="1"/>
  <c r="I26" i="1"/>
  <c r="H26" i="1" a="1"/>
  <c r="H26" i="1" s="1"/>
  <c r="I24" i="1"/>
  <c r="I23" i="1"/>
  <c r="I22" i="1"/>
  <c r="I21" i="1"/>
  <c r="I20" i="1"/>
  <c r="I19" i="1"/>
  <c r="I18" i="1"/>
  <c r="I17" i="1"/>
  <c r="I16" i="1"/>
  <c r="I15" i="1"/>
  <c r="H15" i="1" a="1"/>
  <c r="H15" i="1" s="1"/>
  <c r="P85" i="1"/>
  <c r="S62" i="1"/>
  <c r="J73" i="1"/>
  <c r="J62" i="1"/>
  <c r="S47" i="1"/>
  <c r="S46" i="1"/>
  <c r="S45" i="1"/>
  <c r="S44" i="1"/>
  <c r="S43" i="1"/>
  <c r="S42" i="1"/>
  <c r="S41" i="1"/>
  <c r="S40" i="1"/>
  <c r="S39" i="1"/>
  <c r="S38" i="1"/>
  <c r="J59" i="1"/>
  <c r="J58" i="1"/>
  <c r="J57" i="1"/>
  <c r="J56" i="1"/>
  <c r="J55" i="1"/>
  <c r="J54" i="1"/>
  <c r="J53" i="1"/>
  <c r="J52" i="1"/>
  <c r="J51" i="1"/>
  <c r="J60" i="1"/>
  <c r="I50" i="1"/>
  <c r="I49" i="1"/>
  <c r="J38" i="1"/>
  <c r="AD15" i="1"/>
  <c r="AE15" i="1"/>
  <c r="T26" i="1"/>
  <c r="V15" i="1"/>
  <c r="J35" i="1"/>
  <c r="J30" i="1"/>
  <c r="J27" i="1"/>
  <c r="J26" i="1"/>
  <c r="J34" i="1"/>
  <c r="J33" i="1"/>
  <c r="J32" i="1"/>
  <c r="J31" i="1"/>
  <c r="J29" i="1"/>
  <c r="J28" i="1"/>
  <c r="J15" i="1"/>
  <c r="I108" i="1" l="1"/>
  <c r="I99" i="1"/>
  <c r="I109" i="1"/>
  <c r="I64" i="1"/>
  <c r="I111" i="1"/>
  <c r="T24" i="1"/>
  <c r="I94" i="1"/>
  <c r="Q104" i="1"/>
  <c r="Q114" i="1"/>
  <c r="I98" i="1"/>
  <c r="I100" i="1"/>
  <c r="T16" i="1"/>
  <c r="I65" i="1"/>
  <c r="R75" i="1"/>
  <c r="I86" i="1"/>
  <c r="I102" i="1"/>
  <c r="I112" i="1"/>
  <c r="Q123" i="1"/>
  <c r="T81" i="1"/>
  <c r="I87" i="1"/>
  <c r="Q97" i="1"/>
  <c r="I113" i="1"/>
  <c r="Q124" i="1"/>
  <c r="R77" i="1"/>
  <c r="T82" i="1"/>
  <c r="I88" i="1"/>
  <c r="I104" i="1"/>
  <c r="Q98" i="1"/>
  <c r="I114" i="1"/>
  <c r="Q108" i="1"/>
  <c r="Q125" i="1"/>
  <c r="T19" i="1"/>
  <c r="I68" i="1"/>
  <c r="R78" i="1"/>
  <c r="I89" i="1"/>
  <c r="I105" i="1"/>
  <c r="Q99" i="1"/>
  <c r="I115" i="1"/>
  <c r="Q109" i="1"/>
  <c r="Q126" i="1"/>
  <c r="T20" i="1"/>
  <c r="I69" i="1"/>
  <c r="R63" i="1"/>
  <c r="R79" i="1"/>
  <c r="I90" i="1"/>
  <c r="Q100" i="1"/>
  <c r="I116" i="1"/>
  <c r="Q110" i="1"/>
  <c r="Q127" i="1"/>
  <c r="T21" i="1"/>
  <c r="I70" i="1"/>
  <c r="R64" i="1"/>
  <c r="R80" i="1"/>
  <c r="AA63" i="1"/>
  <c r="I91" i="1"/>
  <c r="Q101" i="1"/>
  <c r="Q111" i="1"/>
  <c r="Q128" i="1"/>
  <c r="I101" i="1"/>
  <c r="Q122" i="1"/>
  <c r="T17" i="1"/>
  <c r="I66" i="1"/>
  <c r="R76" i="1"/>
  <c r="I103" i="1"/>
  <c r="T18" i="1"/>
  <c r="I67" i="1"/>
  <c r="T22" i="1"/>
  <c r="I71" i="1"/>
  <c r="R65" i="1"/>
  <c r="R81" i="1"/>
  <c r="AA64" i="1"/>
  <c r="I92" i="1"/>
  <c r="O86" i="1"/>
  <c r="Q102" i="1"/>
  <c r="Q112" i="1"/>
  <c r="I97" i="1"/>
  <c r="Q120" i="1"/>
  <c r="I63" i="1"/>
  <c r="I110" i="1"/>
  <c r="Q121" i="1"/>
  <c r="R74" i="1"/>
  <c r="T23" i="1"/>
  <c r="R66" i="1"/>
  <c r="R82" i="1"/>
  <c r="AA65" i="1"/>
  <c r="I93" i="1"/>
  <c r="O87" i="1"/>
  <c r="Q103" i="1"/>
  <c r="Q11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<sst xmlns="http://schemas.openxmlformats.org/spreadsheetml/2006/main" count="143" uniqueCount="109">
  <si>
    <t>ID</t>
  </si>
  <si>
    <t>Name</t>
  </si>
  <si>
    <t>Department</t>
  </si>
  <si>
    <t>City</t>
  </si>
  <si>
    <t>Salary</t>
  </si>
  <si>
    <t>Bonus</t>
  </si>
  <si>
    <t>Status</t>
  </si>
  <si>
    <t>Code</t>
  </si>
  <si>
    <t>Text Number</t>
  </si>
  <si>
    <t>Password</t>
  </si>
  <si>
    <t>Confirm Password</t>
  </si>
  <si>
    <t>paras yadav</t>
  </si>
  <si>
    <t>sales</t>
  </si>
  <si>
    <t>delhi</t>
  </si>
  <si>
    <t>active</t>
  </si>
  <si>
    <t>emp001</t>
  </si>
  <si>
    <t>abc123</t>
  </si>
  <si>
    <t>RAHUL SHARMA</t>
  </si>
  <si>
    <t>HR</t>
  </si>
  <si>
    <t>mumbai</t>
  </si>
  <si>
    <t>inactive</t>
  </si>
  <si>
    <t>EMP002</t>
  </si>
  <si>
    <t>Rahul@1</t>
  </si>
  <si>
    <t>anjali verma</t>
  </si>
  <si>
    <t>IT</t>
  </si>
  <si>
    <t>pune</t>
  </si>
  <si>
    <t>emp003</t>
  </si>
  <si>
    <t>pass123</t>
  </si>
  <si>
    <t>Pass123</t>
  </si>
  <si>
    <t>ROHIT kumar</t>
  </si>
  <si>
    <t>Finance</t>
  </si>
  <si>
    <t>EMP004</t>
  </si>
  <si>
    <t>admin</t>
  </si>
  <si>
    <t>neha SINGH</t>
  </si>
  <si>
    <t>Sales</t>
  </si>
  <si>
    <t>jaipur</t>
  </si>
  <si>
    <t>Emp005</t>
  </si>
  <si>
    <t>Neha@12</t>
  </si>
  <si>
    <t>AMIT YADAV</t>
  </si>
  <si>
    <t>EMP006</t>
  </si>
  <si>
    <t>hello</t>
  </si>
  <si>
    <t>Hello</t>
  </si>
  <si>
    <t>priya sharma</t>
  </si>
  <si>
    <t>chandigarh</t>
  </si>
  <si>
    <t>emp007</t>
  </si>
  <si>
    <t>test01</t>
  </si>
  <si>
    <t>KARAN MEHTA</t>
  </si>
  <si>
    <t>gurgaon</t>
  </si>
  <si>
    <t>EMP008</t>
  </si>
  <si>
    <t>Excel</t>
  </si>
  <si>
    <t>excel</t>
  </si>
  <si>
    <t>sonu kumar</t>
  </si>
  <si>
    <t>Marketing</t>
  </si>
  <si>
    <t>noida</t>
  </si>
  <si>
    <t>emp009</t>
  </si>
  <si>
    <t>data</t>
  </si>
  <si>
    <t>POOJA VERMA</t>
  </si>
  <si>
    <t>EMP010</t>
  </si>
  <si>
    <t>PowerBI</t>
  </si>
  <si>
    <t xml:space="preserve">question </t>
  </si>
  <si>
    <t>of</t>
  </si>
  <si>
    <t>TEXT</t>
  </si>
  <si>
    <t>Function</t>
  </si>
  <si>
    <t>Salary को ₹35,000.00 Format में दिखाओ।</t>
  </si>
  <si>
    <t>Bonus को ₹5,000 Format में Convert करो।</t>
  </si>
  <si>
    <t>Salary + Bonus को Currency Format में दिखाओ।</t>
  </si>
  <si>
    <r>
      <t xml:space="preserve">Salary को </t>
    </r>
    <r>
      <rPr>
        <sz val="10"/>
        <color theme="1"/>
        <rFont val="Arial Unicode MS"/>
      </rPr>
      <t>"35000 Rupees"</t>
    </r>
    <r>
      <rPr>
        <sz val="11"/>
        <color theme="1"/>
        <rFont val="Aptos Narrow"/>
        <family val="2"/>
        <scheme val="minor"/>
      </rPr>
      <t xml:space="preserve"> Format में दिखाओ।</t>
    </r>
  </si>
  <si>
    <r>
      <t xml:space="preserve">Salary को </t>
    </r>
    <r>
      <rPr>
        <b/>
        <sz val="11"/>
        <color theme="1"/>
        <rFont val="Aptos Narrow"/>
        <family val="2"/>
        <scheme val="minor"/>
      </rPr>
      <t>"35,000 INR"</t>
    </r>
    <r>
      <rPr>
        <sz val="11"/>
        <color theme="1"/>
        <rFont val="Aptos Narrow"/>
        <family val="2"/>
        <scheme val="minor"/>
      </rPr>
      <t xml:space="preserve"> Format में दिखाओ</t>
    </r>
  </si>
  <si>
    <t>Value</t>
  </si>
  <si>
    <t>function</t>
  </si>
  <si>
    <t>Text Number को Number में Convert करो</t>
  </si>
  <si>
    <t>"2500" को Number बनाओ</t>
  </si>
  <si>
    <t>"9100" को Numeric Value में बदलो</t>
  </si>
  <si>
    <t>. Text Number + 500 करो</t>
  </si>
  <si>
    <t>VALUE से Average निकालो</t>
  </si>
  <si>
    <t>question</t>
  </si>
  <si>
    <t>proper</t>
  </si>
  <si>
    <t>Name को Proper Case में बदलो।</t>
  </si>
  <si>
    <t>Department को Proper Case में बदलो।</t>
  </si>
  <si>
    <t>City को Proper Case में बदलो।</t>
  </si>
  <si>
    <t>Name और City दोनों Proper करो।</t>
  </si>
  <si>
    <t>Code को Proper Case में बदलो।</t>
  </si>
  <si>
    <t>quesrtion</t>
  </si>
  <si>
    <t>Lower</t>
  </si>
  <si>
    <t>Name को Lower Case में बदलो।</t>
  </si>
  <si>
    <t>Department को Lower करो।</t>
  </si>
  <si>
    <t>City को Lower करो।</t>
  </si>
  <si>
    <t>Password को Lower करो।</t>
  </si>
  <si>
    <t xml:space="preserve">upper </t>
  </si>
  <si>
    <t>Name को Upper Case में बदलो।</t>
  </si>
  <si>
    <t>Department को Upper करो।</t>
  </si>
  <si>
    <t>City को Upper करो।</t>
  </si>
  <si>
    <t>Password को Upper करो।</t>
  </si>
  <si>
    <t>Code को Upper करो।</t>
  </si>
  <si>
    <t>IF</t>
  </si>
  <si>
    <r>
      <t xml:space="preserve">Salary ≥ 50000 हो तो </t>
    </r>
    <r>
      <rPr>
        <b/>
        <sz val="11"/>
        <color theme="1"/>
        <rFont val="Aptos Narrow"/>
        <family val="2"/>
        <scheme val="minor"/>
      </rPr>
      <t>High</t>
    </r>
    <r>
      <rPr>
        <sz val="11"/>
        <color theme="1"/>
        <rFont val="Aptos Narrow"/>
        <family val="2"/>
        <scheme val="minor"/>
      </rPr>
      <t xml:space="preserve">, नहीं तो </t>
    </r>
    <r>
      <rPr>
        <b/>
        <sz val="11"/>
        <color theme="1"/>
        <rFont val="Aptos Narrow"/>
        <family val="2"/>
        <scheme val="minor"/>
      </rPr>
      <t>Low</t>
    </r>
    <r>
      <rPr>
        <sz val="11"/>
        <color theme="1"/>
        <rFont val="Aptos Narrow"/>
        <family val="2"/>
        <scheme val="minor"/>
      </rPr>
      <t>।</t>
    </r>
  </si>
  <si>
    <r>
      <t xml:space="preserve">Bonus ≥ 6000 हो तो </t>
    </r>
    <r>
      <rPr>
        <b/>
        <sz val="11"/>
        <color theme="1"/>
        <rFont val="Aptos Narrow"/>
        <family val="2"/>
        <scheme val="minor"/>
      </rPr>
      <t>Good Bonus</t>
    </r>
    <r>
      <rPr>
        <sz val="11"/>
        <color theme="1"/>
        <rFont val="Aptos Narrow"/>
        <family val="2"/>
        <scheme val="minor"/>
      </rPr>
      <t xml:space="preserve">, नहीं तो </t>
    </r>
    <r>
      <rPr>
        <b/>
        <sz val="11"/>
        <color theme="1"/>
        <rFont val="Aptos Narrow"/>
        <family val="2"/>
        <scheme val="minor"/>
      </rPr>
      <t>Normal Bonus</t>
    </r>
    <r>
      <rPr>
        <sz val="11"/>
        <color theme="1"/>
        <rFont val="Aptos Narrow"/>
        <family val="2"/>
        <scheme val="minor"/>
      </rPr>
      <t>।</t>
    </r>
  </si>
  <si>
    <r>
      <t xml:space="preserve">Status = Active हो तो </t>
    </r>
    <r>
      <rPr>
        <b/>
        <sz val="11"/>
        <color theme="1"/>
        <rFont val="Aptos Narrow"/>
        <family val="2"/>
        <scheme val="minor"/>
      </rPr>
      <t>Working</t>
    </r>
    <r>
      <rPr>
        <sz val="11"/>
        <color theme="1"/>
        <rFont val="Aptos Narrow"/>
        <family val="2"/>
        <scheme val="minor"/>
      </rPr>
      <t xml:space="preserve">, नहीं तो </t>
    </r>
    <r>
      <rPr>
        <b/>
        <sz val="11"/>
        <color theme="1"/>
        <rFont val="Aptos Narrow"/>
        <family val="2"/>
        <scheme val="minor"/>
      </rPr>
      <t>Not Working</t>
    </r>
    <r>
      <rPr>
        <sz val="11"/>
        <color theme="1"/>
        <rFont val="Aptos Narrow"/>
        <family val="2"/>
        <scheme val="minor"/>
      </rPr>
      <t>।</t>
    </r>
  </si>
  <si>
    <r>
      <t xml:space="preserve">Department = Sales हो तो </t>
    </r>
    <r>
      <rPr>
        <b/>
        <sz val="11"/>
        <color theme="1"/>
        <rFont val="Aptos Narrow"/>
        <family val="2"/>
        <scheme val="minor"/>
      </rPr>
      <t>Target Team</t>
    </r>
    <r>
      <rPr>
        <sz val="11"/>
        <color theme="1"/>
        <rFont val="Aptos Narrow"/>
        <family val="2"/>
        <scheme val="minor"/>
      </rPr>
      <t xml:space="preserve">, नहीं तो </t>
    </r>
    <r>
      <rPr>
        <b/>
        <sz val="11"/>
        <color theme="1"/>
        <rFont val="Aptos Narrow"/>
        <family val="2"/>
        <scheme val="minor"/>
      </rPr>
      <t>Other Team</t>
    </r>
    <r>
      <rPr>
        <sz val="11"/>
        <color theme="1"/>
        <rFont val="Aptos Narrow"/>
        <family val="2"/>
        <scheme val="minor"/>
      </rPr>
      <t>।</t>
    </r>
  </si>
  <si>
    <r>
      <t xml:space="preserve">City = Delhi हो तो </t>
    </r>
    <r>
      <rPr>
        <b/>
        <sz val="11"/>
        <color theme="1"/>
        <rFont val="Aptos Narrow"/>
        <family val="2"/>
        <scheme val="minor"/>
      </rPr>
      <t>Head Office</t>
    </r>
    <r>
      <rPr>
        <sz val="11"/>
        <color theme="1"/>
        <rFont val="Aptos Narrow"/>
        <family val="2"/>
        <scheme val="minor"/>
      </rPr>
      <t xml:space="preserve">, नहीं तो </t>
    </r>
    <r>
      <rPr>
        <b/>
        <sz val="11"/>
        <color theme="1"/>
        <rFont val="Aptos Narrow"/>
        <family val="2"/>
        <scheme val="minor"/>
      </rPr>
      <t>Branch Office</t>
    </r>
    <r>
      <rPr>
        <sz val="11"/>
        <color theme="1"/>
        <rFont val="Aptos Narrow"/>
        <family val="2"/>
        <scheme val="minor"/>
      </rPr>
      <t>।</t>
    </r>
  </si>
  <si>
    <t>QUESTION</t>
  </si>
  <si>
    <t>OF</t>
  </si>
  <si>
    <t>NOT</t>
  </si>
  <si>
    <t>FUNCTION</t>
  </si>
  <si>
    <t>Status Active नहीं है?</t>
  </si>
  <si>
    <t>Department Sales नहीं है?</t>
  </si>
  <si>
    <t>City Delhi नहीं है?</t>
  </si>
  <si>
    <t>Salary 50000 से ज्यादा नहीं है?</t>
  </si>
  <si>
    <t>Bonus 5000 से कम नहीं है?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</si>
</sst>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\ #,##0.00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C0EA6-DAE8-43E5-B68E-097E4145AAE1}">
  <dimension ref="A1:AE173"/>
  <sheetViews>
    <sheetView tabSelected="1" workbookViewId="0">
      <selection activeCell="N168" sqref="N168"/>
    </sheetView>
  </sheetViews>
  <sheetFormatPr defaultRowHeight="14.4"/>
  <cols>
    <col min="7" max="7" width="46.44140625" customWidth="1"/>
    <col min="8" max="8" width="13.6640625" customWidth="1"/>
    <col min="9" max="9" width="17.6640625" customWidth="1"/>
    <col min="12" max="12" width="25.5546875" customWidth="1"/>
    <col min="15" max="15" width="25.6640625" customWidth="1"/>
    <col min="16" max="16" width="10.33203125" customWidth="1"/>
    <col min="17" max="17" width="14.109375" customWidth="1"/>
    <col min="18" max="18" width="12.88671875" customWidth="1"/>
    <col min="19" max="19" width="12.6640625" customWidth="1"/>
  </cols>
  <sheetData>
    <row r="1" spans="1:31" ht="43.2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31" ht="28.8">
      <c r="A2" s="4">
        <v>101</v>
      </c>
      <c r="B2" s="4" t="s">
        <v>11</v>
      </c>
      <c r="C2" s="4" t="s">
        <v>12</v>
      </c>
      <c r="D2" s="4" t="s">
        <v>13</v>
      </c>
      <c r="E2" s="2">
        <v>35000</v>
      </c>
      <c r="F2" s="2">
        <v>5000</v>
      </c>
      <c r="G2" s="4" t="s">
        <v>14</v>
      </c>
      <c r="H2" s="4" t="s">
        <v>15</v>
      </c>
      <c r="I2" s="4">
        <v>1001</v>
      </c>
      <c r="J2" s="4" t="s">
        <v>16</v>
      </c>
      <c r="K2" s="4" t="s">
        <v>16</v>
      </c>
    </row>
    <row r="3" spans="1:31" ht="28.8">
      <c r="A3" s="4">
        <v>102</v>
      </c>
      <c r="B3" s="4" t="s">
        <v>17</v>
      </c>
      <c r="C3" s="4" t="s">
        <v>18</v>
      </c>
      <c r="D3" s="4" t="s">
        <v>19</v>
      </c>
      <c r="E3" s="2">
        <v>42000</v>
      </c>
      <c r="F3" s="2">
        <v>4000</v>
      </c>
      <c r="G3" s="4" t="s">
        <v>20</v>
      </c>
      <c r="H3" s="4" t="s">
        <v>21</v>
      </c>
      <c r="I3" s="4">
        <v>2500</v>
      </c>
      <c r="J3" s="4" t="s">
        <v>22</v>
      </c>
      <c r="K3" s="4" t="s">
        <v>22</v>
      </c>
    </row>
    <row r="4" spans="1:31" ht="28.8">
      <c r="A4" s="4">
        <v>103</v>
      </c>
      <c r="B4" s="4" t="s">
        <v>23</v>
      </c>
      <c r="C4" s="4" t="s">
        <v>24</v>
      </c>
      <c r="D4" s="4" t="s">
        <v>25</v>
      </c>
      <c r="E4" s="2">
        <v>58000</v>
      </c>
      <c r="F4" s="2">
        <v>6000</v>
      </c>
      <c r="G4" s="4" t="s">
        <v>14</v>
      </c>
      <c r="H4" s="4" t="s">
        <v>26</v>
      </c>
      <c r="I4" s="4">
        <v>3500</v>
      </c>
      <c r="J4" s="4" t="s">
        <v>27</v>
      </c>
      <c r="K4" s="4" t="s">
        <v>28</v>
      </c>
    </row>
    <row r="5" spans="1:31" ht="28.8">
      <c r="A5" s="4">
        <v>104</v>
      </c>
      <c r="B5" s="4" t="s">
        <v>29</v>
      </c>
      <c r="C5" s="4" t="s">
        <v>30</v>
      </c>
      <c r="D5" s="4" t="s">
        <v>13</v>
      </c>
      <c r="E5" s="2">
        <v>29000</v>
      </c>
      <c r="F5" s="2">
        <v>3000</v>
      </c>
      <c r="G5" s="4" t="s">
        <v>20</v>
      </c>
      <c r="H5" s="4" t="s">
        <v>31</v>
      </c>
      <c r="I5" s="4">
        <v>4500</v>
      </c>
      <c r="J5" s="4" t="s">
        <v>32</v>
      </c>
      <c r="K5" s="4" t="s">
        <v>32</v>
      </c>
    </row>
    <row r="6" spans="1:31" ht="28.8">
      <c r="A6" s="4">
        <v>105</v>
      </c>
      <c r="B6" s="4" t="s">
        <v>33</v>
      </c>
      <c r="C6" s="4" t="s">
        <v>34</v>
      </c>
      <c r="D6" s="4" t="s">
        <v>35</v>
      </c>
      <c r="E6" s="2">
        <v>62000</v>
      </c>
      <c r="F6" s="2">
        <v>7000</v>
      </c>
      <c r="G6" s="4" t="s">
        <v>14</v>
      </c>
      <c r="H6" s="4" t="s">
        <v>36</v>
      </c>
      <c r="I6" s="4">
        <v>5500</v>
      </c>
      <c r="J6" s="4" t="s">
        <v>37</v>
      </c>
      <c r="K6" s="4" t="s">
        <v>37</v>
      </c>
    </row>
    <row r="7" spans="1:31" ht="28.8">
      <c r="A7" s="4">
        <v>106</v>
      </c>
      <c r="B7" s="4" t="s">
        <v>38</v>
      </c>
      <c r="C7" s="4" t="s">
        <v>24</v>
      </c>
      <c r="D7" s="4" t="s">
        <v>13</v>
      </c>
      <c r="E7" s="2">
        <v>48000</v>
      </c>
      <c r="F7" s="2">
        <v>5500</v>
      </c>
      <c r="G7" s="4" t="s">
        <v>14</v>
      </c>
      <c r="H7" s="4" t="s">
        <v>39</v>
      </c>
      <c r="I7" s="4">
        <v>6200</v>
      </c>
      <c r="J7" s="4" t="s">
        <v>40</v>
      </c>
      <c r="K7" s="4" t="s">
        <v>41</v>
      </c>
    </row>
    <row r="8" spans="1:31" ht="28.8">
      <c r="A8" s="4">
        <v>107</v>
      </c>
      <c r="B8" s="4" t="s">
        <v>42</v>
      </c>
      <c r="C8" s="4" t="s">
        <v>18</v>
      </c>
      <c r="D8" s="4" t="s">
        <v>43</v>
      </c>
      <c r="E8" s="2">
        <v>39000</v>
      </c>
      <c r="F8" s="2">
        <v>2500</v>
      </c>
      <c r="G8" s="4" t="s">
        <v>20</v>
      </c>
      <c r="H8" s="4" t="s">
        <v>44</v>
      </c>
      <c r="I8" s="4">
        <v>7100</v>
      </c>
      <c r="J8" s="4" t="s">
        <v>45</v>
      </c>
      <c r="K8" s="4" t="s">
        <v>45</v>
      </c>
    </row>
    <row r="9" spans="1:31" ht="28.8">
      <c r="A9" s="4">
        <v>108</v>
      </c>
      <c r="B9" s="4" t="s">
        <v>46</v>
      </c>
      <c r="C9" s="4" t="s">
        <v>34</v>
      </c>
      <c r="D9" s="4" t="s">
        <v>47</v>
      </c>
      <c r="E9" s="2">
        <v>70000</v>
      </c>
      <c r="F9" s="2">
        <v>9000</v>
      </c>
      <c r="G9" s="4" t="s">
        <v>14</v>
      </c>
      <c r="H9" s="4" t="s">
        <v>48</v>
      </c>
      <c r="I9" s="4">
        <v>8200</v>
      </c>
      <c r="J9" s="4" t="s">
        <v>49</v>
      </c>
      <c r="K9" s="4" t="s">
        <v>50</v>
      </c>
    </row>
    <row r="10" spans="1:31" ht="28.8">
      <c r="A10" s="4">
        <v>109</v>
      </c>
      <c r="B10" s="4" t="s">
        <v>51</v>
      </c>
      <c r="C10" s="4" t="s">
        <v>52</v>
      </c>
      <c r="D10" s="4" t="s">
        <v>53</v>
      </c>
      <c r="E10" s="2">
        <v>33000</v>
      </c>
      <c r="F10" s="2">
        <v>3500</v>
      </c>
      <c r="G10" s="4" t="s">
        <v>20</v>
      </c>
      <c r="H10" s="4" t="s">
        <v>54</v>
      </c>
      <c r="I10" s="4">
        <v>9100</v>
      </c>
      <c r="J10" s="4" t="s">
        <v>55</v>
      </c>
      <c r="K10" s="4" t="s">
        <v>55</v>
      </c>
    </row>
    <row r="11" spans="1:31" ht="28.8">
      <c r="A11" s="4">
        <v>110</v>
      </c>
      <c r="B11" s="4" t="s">
        <v>56</v>
      </c>
      <c r="C11" s="4" t="s">
        <v>30</v>
      </c>
      <c r="D11" s="4" t="s">
        <v>13</v>
      </c>
      <c r="E11" s="2">
        <v>54000</v>
      </c>
      <c r="F11" s="2">
        <v>8000</v>
      </c>
      <c r="G11" s="4" t="s">
        <v>14</v>
      </c>
      <c r="H11" s="4" t="s">
        <v>57</v>
      </c>
      <c r="I11" s="4">
        <v>10000</v>
      </c>
      <c r="J11" s="4" t="s">
        <v>58</v>
      </c>
      <c r="K11" s="4" t="s">
        <v>58</v>
      </c>
    </row>
    <row r="15" spans="1:31">
      <c r="A15" t="s">
        <v>59</v>
      </c>
      <c r="B15" t="s">
        <v>60</v>
      </c>
      <c r="C15" s="5" t="s">
        <v>61</v>
      </c>
      <c r="D15" t="s">
        <v>62</v>
      </c>
      <c r="F15">
        <v>1</v>
      </c>
      <c r="G15" t="s">
        <v>63</v>
      </c>
      <c r="H15" cm="1">
        <f t="array" ref="H15:H24">Salary</f>
        <v>35000</v>
      </c>
      <c r="I15" t="str">
        <f>TEXT(E2,"₹#,##0.00")</f>
        <v>₹35,000.00</v>
      </c>
      <c r="J15" t="str">
        <f ca="1">_xlfn.FORMULATEXT(I15)</f>
        <v>=TEXT(E2,"₹#,##0.00")</v>
      </c>
      <c r="M15">
        <v>3</v>
      </c>
      <c r="N15" t="s">
        <v>65</v>
      </c>
      <c r="R15" cm="1">
        <f t="array" ref="R15:R24">Salary</f>
        <v>35000</v>
      </c>
      <c r="S15" cm="1">
        <f t="array" ref="S15:S24">Bonus</f>
        <v>5000</v>
      </c>
      <c r="T15">
        <f>SUM(R15,S15)</f>
        <v>40000</v>
      </c>
      <c r="U15" t="str">
        <f>TEXT(F2,"₹#,##0")</f>
        <v>₹5,000</v>
      </c>
      <c r="V15" s="6" t="str">
        <f t="shared" ref="V15" ca="1" si="0">_xlfn.FORMULATEXT(U15)</f>
        <v>=TEXT(F2,"₹#,##0")</v>
      </c>
      <c r="W15">
        <v>5</v>
      </c>
      <c r="X15" t="s">
        <v>67</v>
      </c>
      <c r="AB15" cm="1">
        <f t="array" ref="AB15:AB24">Salary</f>
        <v>35000</v>
      </c>
      <c r="AC15" t="str">
        <f>TEXT(E2,"#,##0")&amp;" INR"</f>
        <v>35,000 INR</v>
      </c>
      <c r="AD15" s="6" t="str">
        <f t="shared" ref="AD15" ca="1" si="1">_xlfn.FORMULATEXT(AC15)</f>
        <v>=TEXT(E2,"#,##0")&amp;" INR"</v>
      </c>
      <c r="AE15" s="6" t="str">
        <f t="shared" ref="AE15" ca="1" si="2">_xlfn.FORMULATEXT(AD15)</f>
        <v>=FORMULATEXT(AC15)</v>
      </c>
    </row>
    <row r="16" spans="1:31">
      <c r="H16">
        <v>42000</v>
      </c>
      <c r="I16" t="str">
        <f t="shared" ref="I16:I24" si="3">TEXT(E3,"₹#,##0.00")</f>
        <v>₹42,000.00</v>
      </c>
      <c r="R16">
        <v>42000</v>
      </c>
      <c r="S16">
        <v>4000</v>
      </c>
      <c r="T16">
        <f t="shared" ref="T16:T24" si="4">SUM(R16,S16)</f>
        <v>46000</v>
      </c>
      <c r="U16" t="str">
        <f t="shared" ref="U16:U24" si="5">TEXT(F3,"₹#,##0")</f>
        <v>₹4,000</v>
      </c>
      <c r="AB16">
        <v>42000</v>
      </c>
      <c r="AC16" t="str">
        <f t="shared" ref="AC16:AC24" si="6">TEXT(E3,"#,##0")&amp;" INR"</f>
        <v>42,000 INR</v>
      </c>
    </row>
    <row r="17" spans="6:29">
      <c r="H17">
        <v>58000</v>
      </c>
      <c r="I17" t="str">
        <f t="shared" si="3"/>
        <v>₹58,000.00</v>
      </c>
      <c r="R17">
        <v>58000</v>
      </c>
      <c r="S17">
        <v>6000</v>
      </c>
      <c r="T17">
        <f t="shared" si="4"/>
        <v>64000</v>
      </c>
      <c r="U17" t="str">
        <f t="shared" si="5"/>
        <v>₹6,000</v>
      </c>
      <c r="AB17">
        <v>58000</v>
      </c>
      <c r="AC17" t="str">
        <f t="shared" si="6"/>
        <v>58,000 INR</v>
      </c>
    </row>
    <row r="18" spans="6:29">
      <c r="H18">
        <v>29000</v>
      </c>
      <c r="I18" t="str">
        <f t="shared" si="3"/>
        <v>₹29,000.00</v>
      </c>
      <c r="R18">
        <v>29000</v>
      </c>
      <c r="S18">
        <v>3000</v>
      </c>
      <c r="T18">
        <f t="shared" si="4"/>
        <v>32000</v>
      </c>
      <c r="U18" t="str">
        <f t="shared" si="5"/>
        <v>₹3,000</v>
      </c>
      <c r="AB18">
        <v>29000</v>
      </c>
      <c r="AC18" t="str">
        <f t="shared" si="6"/>
        <v>29,000 INR</v>
      </c>
    </row>
    <row r="19" spans="6:29">
      <c r="H19">
        <v>62000</v>
      </c>
      <c r="I19" t="str">
        <f t="shared" si="3"/>
        <v>₹62,000.00</v>
      </c>
      <c r="R19">
        <v>62000</v>
      </c>
      <c r="S19">
        <v>7000</v>
      </c>
      <c r="T19">
        <f t="shared" si="4"/>
        <v>69000</v>
      </c>
      <c r="U19" t="str">
        <f t="shared" si="5"/>
        <v>₹7,000</v>
      </c>
      <c r="AB19">
        <v>62000</v>
      </c>
      <c r="AC19" t="str">
        <f t="shared" si="6"/>
        <v>62,000 INR</v>
      </c>
    </row>
    <row r="20" spans="6:29">
      <c r="H20">
        <v>48000</v>
      </c>
      <c r="I20" t="str">
        <f t="shared" si="3"/>
        <v>₹48,000.00</v>
      </c>
      <c r="R20">
        <v>48000</v>
      </c>
      <c r="S20">
        <v>5500</v>
      </c>
      <c r="T20">
        <f t="shared" si="4"/>
        <v>53500</v>
      </c>
      <c r="U20" t="str">
        <f t="shared" si="5"/>
        <v>₹5,500</v>
      </c>
      <c r="AB20">
        <v>48000</v>
      </c>
      <c r="AC20" t="str">
        <f t="shared" si="6"/>
        <v>48,000 INR</v>
      </c>
    </row>
    <row r="21" spans="6:29">
      <c r="H21">
        <v>39000</v>
      </c>
      <c r="I21" t="str">
        <f t="shared" si="3"/>
        <v>₹39,000.00</v>
      </c>
      <c r="R21">
        <v>39000</v>
      </c>
      <c r="S21">
        <v>2500</v>
      </c>
      <c r="T21">
        <f t="shared" si="4"/>
        <v>41500</v>
      </c>
      <c r="U21" t="str">
        <f t="shared" si="5"/>
        <v>₹2,500</v>
      </c>
      <c r="AB21">
        <v>39000</v>
      </c>
      <c r="AC21" t="str">
        <f t="shared" si="6"/>
        <v>39,000 INR</v>
      </c>
    </row>
    <row r="22" spans="6:29">
      <c r="H22">
        <v>70000</v>
      </c>
      <c r="I22" t="str">
        <f t="shared" si="3"/>
        <v>₹70,000.00</v>
      </c>
      <c r="R22">
        <v>70000</v>
      </c>
      <c r="S22">
        <v>9000</v>
      </c>
      <c r="T22">
        <f t="shared" si="4"/>
        <v>79000</v>
      </c>
      <c r="U22" t="str">
        <f t="shared" si="5"/>
        <v>₹9,000</v>
      </c>
      <c r="AB22">
        <v>70000</v>
      </c>
      <c r="AC22" t="str">
        <f t="shared" si="6"/>
        <v>70,000 INR</v>
      </c>
    </row>
    <row r="23" spans="6:29">
      <c r="H23">
        <v>33000</v>
      </c>
      <c r="I23" t="str">
        <f t="shared" si="3"/>
        <v>₹33,000.00</v>
      </c>
      <c r="R23">
        <v>33000</v>
      </c>
      <c r="S23">
        <v>3500</v>
      </c>
      <c r="T23">
        <f t="shared" si="4"/>
        <v>36500</v>
      </c>
      <c r="U23" t="str">
        <f t="shared" si="5"/>
        <v>₹3,500</v>
      </c>
      <c r="AB23">
        <v>33000</v>
      </c>
      <c r="AC23" t="str">
        <f t="shared" si="6"/>
        <v>33,000 INR</v>
      </c>
    </row>
    <row r="24" spans="6:29">
      <c r="H24">
        <v>54000</v>
      </c>
      <c r="I24" t="str">
        <f t="shared" si="3"/>
        <v>₹54,000.00</v>
      </c>
      <c r="R24">
        <v>54000</v>
      </c>
      <c r="S24">
        <v>8000</v>
      </c>
      <c r="T24">
        <f t="shared" si="4"/>
        <v>62000</v>
      </c>
      <c r="U24" t="str">
        <f t="shared" si="5"/>
        <v>₹8,000</v>
      </c>
      <c r="AB24">
        <v>54000</v>
      </c>
      <c r="AC24" t="str">
        <f t="shared" si="6"/>
        <v>54,000 INR</v>
      </c>
    </row>
    <row r="26" spans="6:29">
      <c r="F26">
        <v>2</v>
      </c>
      <c r="G26" t="s">
        <v>64</v>
      </c>
      <c r="H26" cm="1">
        <f t="array" ref="H26:H35">Bonus</f>
        <v>5000</v>
      </c>
      <c r="I26" t="str">
        <f>TEXT(F2,"₹#,##0")</f>
        <v>₹5,000</v>
      </c>
      <c r="J26" s="6" t="str">
        <f t="shared" ref="J26:J35" ca="1" si="7">_xlfn.FORMULATEXT(I26)</f>
        <v>=TEXT(F2,"₹#,##0")</v>
      </c>
      <c r="M26">
        <v>4</v>
      </c>
      <c r="N26" t="s">
        <v>66</v>
      </c>
      <c r="R26" cm="1">
        <f t="array" ref="R26:R35">Salary</f>
        <v>35000</v>
      </c>
      <c r="S26" t="str">
        <f>TEXT(E2,"0")&amp;" Rupees"</f>
        <v>35000 Rupees</v>
      </c>
      <c r="T26" s="6" t="str">
        <f t="shared" ref="T26" ca="1" si="8">_xlfn.FORMULATEXT(S26)</f>
        <v>=TEXT(E2,"0")&amp;" Rupees"</v>
      </c>
    </row>
    <row r="27" spans="6:29">
      <c r="H27">
        <v>4000</v>
      </c>
      <c r="I27" t="str">
        <f t="shared" ref="I27:I35" si="9">TEXT(F3,"₹#,##0")</f>
        <v>₹4,000</v>
      </c>
      <c r="J27" s="6" t="str">
        <f t="shared" ca="1" si="7"/>
        <v>=TEXT(F3,"₹#,##0")</v>
      </c>
      <c r="R27">
        <v>42000</v>
      </c>
      <c r="S27" t="str">
        <f t="shared" ref="S27:S35" si="10">TEXT(E3,"0")&amp;" Rupees"</f>
        <v>42000 Rupees</v>
      </c>
    </row>
    <row r="28" spans="6:29">
      <c r="H28">
        <v>6000</v>
      </c>
      <c r="I28" t="str">
        <f t="shared" si="9"/>
        <v>₹6,000</v>
      </c>
      <c r="J28" s="6" t="str">
        <f t="shared" ca="1" si="7"/>
        <v>=TEXT(F4,"₹#,##0")</v>
      </c>
      <c r="R28">
        <v>58000</v>
      </c>
      <c r="S28" t="str">
        <f t="shared" si="10"/>
        <v>58000 Rupees</v>
      </c>
    </row>
    <row r="29" spans="6:29">
      <c r="H29">
        <v>3000</v>
      </c>
      <c r="I29" t="str">
        <f t="shared" si="9"/>
        <v>₹3,000</v>
      </c>
      <c r="J29" s="6" t="str">
        <f t="shared" ca="1" si="7"/>
        <v>=TEXT(F5,"₹#,##0")</v>
      </c>
      <c r="R29">
        <v>29000</v>
      </c>
      <c r="S29" t="str">
        <f t="shared" si="10"/>
        <v>29000 Rupees</v>
      </c>
    </row>
    <row r="30" spans="6:29">
      <c r="H30">
        <v>7000</v>
      </c>
      <c r="I30" t="str">
        <f t="shared" si="9"/>
        <v>₹7,000</v>
      </c>
      <c r="J30" s="6" t="str">
        <f t="shared" ca="1" si="7"/>
        <v>=TEXT(F6,"₹#,##0")</v>
      </c>
      <c r="R30">
        <v>62000</v>
      </c>
      <c r="S30" t="str">
        <f t="shared" si="10"/>
        <v>62000 Rupees</v>
      </c>
    </row>
    <row r="31" spans="6:29">
      <c r="H31">
        <v>5500</v>
      </c>
      <c r="I31" t="str">
        <f t="shared" si="9"/>
        <v>₹5,500</v>
      </c>
      <c r="J31" s="6" t="str">
        <f t="shared" ca="1" si="7"/>
        <v>=TEXT(F7,"₹#,##0")</v>
      </c>
      <c r="R31">
        <v>48000</v>
      </c>
      <c r="S31" t="str">
        <f t="shared" si="10"/>
        <v>48000 Rupees</v>
      </c>
    </row>
    <row r="32" spans="6:29">
      <c r="H32">
        <v>2500</v>
      </c>
      <c r="I32" t="str">
        <f t="shared" si="9"/>
        <v>₹2,500</v>
      </c>
      <c r="J32" s="6" t="str">
        <f t="shared" ca="1" si="7"/>
        <v>=TEXT(F8,"₹#,##0")</v>
      </c>
      <c r="R32">
        <v>39000</v>
      </c>
      <c r="S32" t="str">
        <f t="shared" si="10"/>
        <v>39000 Rupees</v>
      </c>
    </row>
    <row r="33" spans="1:19">
      <c r="H33">
        <v>9000</v>
      </c>
      <c r="I33" t="str">
        <f t="shared" si="9"/>
        <v>₹9,000</v>
      </c>
      <c r="J33" s="6" t="str">
        <f t="shared" ca="1" si="7"/>
        <v>=TEXT(F9,"₹#,##0")</v>
      </c>
      <c r="R33">
        <v>70000</v>
      </c>
      <c r="S33" t="str">
        <f t="shared" si="10"/>
        <v>70000 Rupees</v>
      </c>
    </row>
    <row r="34" spans="1:19">
      <c r="H34">
        <v>3500</v>
      </c>
      <c r="I34" t="str">
        <f t="shared" si="9"/>
        <v>₹3,500</v>
      </c>
      <c r="J34" s="6" t="str">
        <f t="shared" ca="1" si="7"/>
        <v>=TEXT(F10,"₹#,##0")</v>
      </c>
      <c r="R34">
        <v>33000</v>
      </c>
      <c r="S34" t="str">
        <f t="shared" si="10"/>
        <v>33000 Rupees</v>
      </c>
    </row>
    <row r="35" spans="1:19">
      <c r="H35">
        <v>8000</v>
      </c>
      <c r="I35" t="str">
        <f t="shared" si="9"/>
        <v>₹8,000</v>
      </c>
      <c r="J35" s="6" t="str">
        <f t="shared" ca="1" si="7"/>
        <v>=TEXT(F11,"₹#,##0")</v>
      </c>
      <c r="R35">
        <v>54000</v>
      </c>
      <c r="S35" t="str">
        <f t="shared" si="10"/>
        <v>54000 Rupees</v>
      </c>
    </row>
    <row r="38" spans="1:19">
      <c r="A38" t="s">
        <v>59</v>
      </c>
      <c r="B38" t="s">
        <v>60</v>
      </c>
      <c r="C38" t="s">
        <v>68</v>
      </c>
      <c r="D38" t="s">
        <v>69</v>
      </c>
      <c r="F38">
        <v>1</v>
      </c>
      <c r="G38" t="s">
        <v>70</v>
      </c>
      <c r="H38" cm="1">
        <f t="array" ref="H38:H47">Text_Number</f>
        <v>1001</v>
      </c>
      <c r="I38">
        <f>VALUE(I2)</f>
        <v>1001</v>
      </c>
      <c r="J38" s="6" t="str">
        <f t="shared" ref="J38" ca="1" si="11">_xlfn.FORMULATEXT(I38)</f>
        <v>=VALUE(I2)</v>
      </c>
      <c r="M38">
        <v>5</v>
      </c>
      <c r="N38" t="s">
        <v>74</v>
      </c>
      <c r="Q38" cm="1">
        <f t="array" ref="Q38:Q47">Text_Number</f>
        <v>1001</v>
      </c>
      <c r="R38">
        <f>AVERAGE(VALUE(I2),VALUE(I3),VALUE(I4),VALUE(I5),VALUE(I6),VALUE(I7),VALUE(I8),VALUE(I9),VALUE(I10),VALUE(I11))</f>
        <v>5760.1</v>
      </c>
      <c r="S38" s="6" t="str">
        <f ca="1">_xlfn.FORMULATEXT(R38)</f>
        <v>=AVERAGE(VALUE(I2),VALUE(I3),VALUE(I4),VALUE(I5),VALUE(I6),VALUE(I7),VALUE(I8),VALUE(I9),VALUE(I10),VALUE(I11))</v>
      </c>
    </row>
    <row r="39" spans="1:19">
      <c r="H39">
        <v>2500</v>
      </c>
      <c r="I39">
        <f t="shared" ref="I39:I47" si="12">VALUE(I3)</f>
        <v>2500</v>
      </c>
      <c r="Q39">
        <v>2500</v>
      </c>
      <c r="R39">
        <f t="shared" ref="R39:R47" si="13">AVERAGE(VALUE(I3),VALUE(I4),VALUE(I5),VALUE(I6),VALUE(I7),VALUE(I8),VALUE(I9),VALUE(I10),VALUE(I11),VALUE(I12))</f>
        <v>5660</v>
      </c>
      <c r="S39" s="6" t="str">
        <f t="shared" ref="S39:S47" ca="1" si="14">_xlfn.FORMULATEXT(R39)</f>
        <v>=AVERAGE(VALUE(I3),VALUE(I4),VALUE(I5),VALUE(I6),VALUE(I7),VALUE(I8),VALUE(I9),VALUE(I10),VALUE(I11),VALUE(I12))</v>
      </c>
    </row>
    <row r="40" spans="1:19">
      <c r="H40">
        <v>3500</v>
      </c>
      <c r="I40">
        <f t="shared" si="12"/>
        <v>3500</v>
      </c>
      <c r="Q40">
        <v>3500</v>
      </c>
      <c r="R40">
        <f t="shared" si="13"/>
        <v>5410</v>
      </c>
      <c r="S40" s="6" t="str">
        <f t="shared" ca="1" si="14"/>
        <v>=AVERAGE(VALUE(I4),VALUE(I5),VALUE(I6),VALUE(I7),VALUE(I8),VALUE(I9),VALUE(I10),VALUE(I11),VALUE(I12),VALUE(I13))</v>
      </c>
    </row>
    <row r="41" spans="1:19">
      <c r="H41">
        <v>4500</v>
      </c>
      <c r="I41">
        <f t="shared" si="12"/>
        <v>4500</v>
      </c>
      <c r="Q41">
        <v>4500</v>
      </c>
      <c r="R41">
        <f t="shared" si="13"/>
        <v>5060</v>
      </c>
      <c r="S41" s="6" t="str">
        <f t="shared" ca="1" si="14"/>
        <v>=AVERAGE(VALUE(I5),VALUE(I6),VALUE(I7),VALUE(I8),VALUE(I9),VALUE(I10),VALUE(I11),VALUE(I12),VALUE(I13),VALUE(I14))</v>
      </c>
    </row>
    <row r="42" spans="1:19">
      <c r="H42">
        <v>5500</v>
      </c>
      <c r="I42">
        <f t="shared" si="12"/>
        <v>5500</v>
      </c>
      <c r="Q42">
        <v>5500</v>
      </c>
      <c r="R42">
        <f t="shared" si="13"/>
        <v>8110</v>
      </c>
      <c r="S42" s="6" t="str">
        <f t="shared" ca="1" si="14"/>
        <v>=AVERAGE(VALUE(I6),VALUE(I7),VALUE(I8),VALUE(I9),VALUE(I10),VALUE(I11),VALUE(I12),VALUE(I13),VALUE(I14),VALUE(I15))</v>
      </c>
    </row>
    <row r="43" spans="1:19">
      <c r="H43">
        <v>6200</v>
      </c>
      <c r="I43">
        <f t="shared" si="12"/>
        <v>6200</v>
      </c>
      <c r="Q43">
        <v>6200</v>
      </c>
      <c r="R43">
        <f t="shared" si="13"/>
        <v>11760</v>
      </c>
      <c r="S43" s="6" t="str">
        <f t="shared" ca="1" si="14"/>
        <v>=AVERAGE(VALUE(I7),VALUE(I8),VALUE(I9),VALUE(I10),VALUE(I11),VALUE(I12),VALUE(I13),VALUE(I14),VALUE(I15),VALUE(I16))</v>
      </c>
    </row>
    <row r="44" spans="1:19">
      <c r="H44">
        <v>7100</v>
      </c>
      <c r="I44">
        <f t="shared" si="12"/>
        <v>7100</v>
      </c>
      <c r="Q44">
        <v>7100</v>
      </c>
      <c r="R44">
        <f t="shared" si="13"/>
        <v>16940</v>
      </c>
      <c r="S44" s="6" t="str">
        <f t="shared" ca="1" si="14"/>
        <v>=AVERAGE(VALUE(I8),VALUE(I9),VALUE(I10),VALUE(I11),VALUE(I12),VALUE(I13),VALUE(I14),VALUE(I15),VALUE(I16),VALUE(I17))</v>
      </c>
    </row>
    <row r="45" spans="1:19">
      <c r="H45">
        <v>8200</v>
      </c>
      <c r="I45">
        <f t="shared" si="12"/>
        <v>8200</v>
      </c>
      <c r="Q45">
        <v>8200</v>
      </c>
      <c r="R45">
        <f t="shared" si="13"/>
        <v>19130</v>
      </c>
      <c r="S45" s="6" t="str">
        <f t="shared" ca="1" si="14"/>
        <v>=AVERAGE(VALUE(I9),VALUE(I10),VALUE(I11),VALUE(I12),VALUE(I13),VALUE(I14),VALUE(I15),VALUE(I16),VALUE(I17),VALUE(I18))</v>
      </c>
    </row>
    <row r="46" spans="1:19">
      <c r="H46">
        <v>9100</v>
      </c>
      <c r="I46">
        <f t="shared" si="12"/>
        <v>9100</v>
      </c>
      <c r="Q46">
        <v>9100</v>
      </c>
      <c r="R46">
        <f t="shared" si="13"/>
        <v>24510</v>
      </c>
      <c r="S46" s="6" t="str">
        <f t="shared" ca="1" si="14"/>
        <v>=AVERAGE(VALUE(I10),VALUE(I11),VALUE(I12),VALUE(I13),VALUE(I14),VALUE(I15),VALUE(I16),VALUE(I17),VALUE(I18),VALUE(I19))</v>
      </c>
    </row>
    <row r="47" spans="1:19">
      <c r="H47">
        <v>10000</v>
      </c>
      <c r="I47">
        <f t="shared" si="12"/>
        <v>10000</v>
      </c>
      <c r="Q47">
        <v>10000</v>
      </c>
      <c r="R47">
        <f t="shared" si="13"/>
        <v>28400</v>
      </c>
      <c r="S47" s="6" t="str">
        <f t="shared" ca="1" si="14"/>
        <v>=AVERAGE(VALUE(I11),VALUE(I12),VALUE(I13),VALUE(I14),VALUE(I15),VALUE(I16),VALUE(I17),VALUE(I18),VALUE(I19),VALUE(I20))</v>
      </c>
    </row>
    <row r="49" spans="1:27">
      <c r="F49">
        <v>2</v>
      </c>
      <c r="G49" t="s">
        <v>71</v>
      </c>
      <c r="H49">
        <f>VALUE("2500")</f>
        <v>2500</v>
      </c>
      <c r="I49" s="6" t="str">
        <f t="shared" ref="I49:J51" ca="1" si="15">_xlfn.FORMULATEXT(H49)</f>
        <v>=VALUE("2500")</v>
      </c>
    </row>
    <row r="50" spans="1:27">
      <c r="F50">
        <v>3</v>
      </c>
      <c r="G50" t="s">
        <v>72</v>
      </c>
      <c r="H50">
        <f>VALUE("9100")</f>
        <v>9100</v>
      </c>
      <c r="I50" s="6" t="str">
        <f t="shared" ca="1" si="15"/>
        <v>=VALUE("9100")</v>
      </c>
    </row>
    <row r="51" spans="1:27">
      <c r="F51">
        <v>4</v>
      </c>
      <c r="G51" t="s">
        <v>73</v>
      </c>
      <c r="H51" cm="1">
        <f t="array" ref="H51:H60">Text_Number</f>
        <v>1001</v>
      </c>
      <c r="I51">
        <f>VALUE(H51)+500</f>
        <v>1501</v>
      </c>
      <c r="J51" s="6" t="str">
        <f t="shared" ref="J51" ca="1" si="16">_xlfn.FORMULATEXT(I51)</f>
        <v>=VALUE(H51)+500</v>
      </c>
    </row>
    <row r="52" spans="1:27">
      <c r="H52">
        <v>2500</v>
      </c>
      <c r="I52">
        <f t="shared" ref="I52:I60" si="17">VALUE(H52)+500</f>
        <v>3000</v>
      </c>
      <c r="J52" s="6" t="str">
        <f t="shared" ref="J52" ca="1" si="18">_xlfn.FORMULATEXT(I52)</f>
        <v>=VALUE(H52)+500</v>
      </c>
    </row>
    <row r="53" spans="1:27">
      <c r="H53">
        <v>3500</v>
      </c>
      <c r="I53">
        <f t="shared" si="17"/>
        <v>4000</v>
      </c>
      <c r="J53" s="6" t="str">
        <f t="shared" ref="J53" ca="1" si="19">_xlfn.FORMULATEXT(I53)</f>
        <v>=VALUE(H53)+500</v>
      </c>
    </row>
    <row r="54" spans="1:27">
      <c r="H54">
        <v>4500</v>
      </c>
      <c r="I54">
        <f t="shared" si="17"/>
        <v>5000</v>
      </c>
      <c r="J54" s="6" t="str">
        <f t="shared" ref="J54" ca="1" si="20">_xlfn.FORMULATEXT(I54)</f>
        <v>=VALUE(H54)+500</v>
      </c>
    </row>
    <row r="55" spans="1:27">
      <c r="H55">
        <v>5500</v>
      </c>
      <c r="I55">
        <f t="shared" si="17"/>
        <v>6000</v>
      </c>
      <c r="J55" s="6" t="str">
        <f t="shared" ref="J55" ca="1" si="21">_xlfn.FORMULATEXT(I55)</f>
        <v>=VALUE(H55)+500</v>
      </c>
    </row>
    <row r="56" spans="1:27">
      <c r="H56">
        <v>6200</v>
      </c>
      <c r="I56">
        <f t="shared" si="17"/>
        <v>6700</v>
      </c>
      <c r="J56" s="6" t="str">
        <f t="shared" ref="J56" ca="1" si="22">_xlfn.FORMULATEXT(I56)</f>
        <v>=VALUE(H56)+500</v>
      </c>
    </row>
    <row r="57" spans="1:27">
      <c r="H57">
        <v>7100</v>
      </c>
      <c r="I57">
        <f t="shared" si="17"/>
        <v>7600</v>
      </c>
      <c r="J57" s="6" t="str">
        <f t="shared" ref="J57" ca="1" si="23">_xlfn.FORMULATEXT(I57)</f>
        <v>=VALUE(H57)+500</v>
      </c>
    </row>
    <row r="58" spans="1:27">
      <c r="H58">
        <v>8200</v>
      </c>
      <c r="I58">
        <f t="shared" si="17"/>
        <v>8700</v>
      </c>
      <c r="J58" s="6" t="str">
        <f t="shared" ref="J58" ca="1" si="24">_xlfn.FORMULATEXT(I58)</f>
        <v>=VALUE(H58)+500</v>
      </c>
    </row>
    <row r="59" spans="1:27">
      <c r="H59">
        <v>9100</v>
      </c>
      <c r="I59">
        <f t="shared" si="17"/>
        <v>9600</v>
      </c>
      <c r="J59" s="6" t="str">
        <f t="shared" ref="J59" ca="1" si="25">_xlfn.FORMULATEXT(I59)</f>
        <v>=VALUE(H59)+500</v>
      </c>
    </row>
    <row r="60" spans="1:27">
      <c r="H60">
        <v>10000</v>
      </c>
      <c r="I60">
        <f t="shared" si="17"/>
        <v>10500</v>
      </c>
      <c r="J60" s="6" t="str">
        <f t="shared" ref="J60:J62" ca="1" si="26">_xlfn.FORMULATEXT(I60)</f>
        <v>=VALUE(H60)+500</v>
      </c>
    </row>
    <row r="62" spans="1:27">
      <c r="A62" t="s">
        <v>75</v>
      </c>
      <c r="B62" t="s">
        <v>60</v>
      </c>
      <c r="C62" t="s">
        <v>76</v>
      </c>
      <c r="D62" t="s">
        <v>69</v>
      </c>
      <c r="F62">
        <v>1</v>
      </c>
      <c r="G62" t="s">
        <v>77</v>
      </c>
      <c r="H62" t="str" cm="1">
        <f t="array" ref="H62:H71">Name</f>
        <v>paras yadav</v>
      </c>
      <c r="I62" t="str">
        <f>PROPER(H62)</f>
        <v>Paras Yadav</v>
      </c>
      <c r="J62" s="6" t="str">
        <f t="shared" ca="1" si="26"/>
        <v>=PROPER(H62)</v>
      </c>
      <c r="M62">
        <v>3</v>
      </c>
      <c r="N62" t="s">
        <v>79</v>
      </c>
      <c r="Q62" t="str" cm="1">
        <f t="array" ref="Q62:Q71">city</f>
        <v>delhi</v>
      </c>
      <c r="R62" t="str">
        <f>PROPER(Q62)</f>
        <v>Delhi</v>
      </c>
      <c r="S62" s="6" t="str">
        <f t="shared" ref="S62" ca="1" si="27">_xlfn.FORMULATEXT(R62)</f>
        <v>=PROPER(Q62)</v>
      </c>
      <c r="V62">
        <v>5</v>
      </c>
      <c r="W62" t="s">
        <v>81</v>
      </c>
      <c r="Z62" t="str" cm="1">
        <f t="array" ref="Z62:Z71">code</f>
        <v>emp001</v>
      </c>
      <c r="AA62" t="str">
        <f>PROPER(Z62)</f>
        <v>Emp001</v>
      </c>
    </row>
    <row r="63" spans="1:27">
      <c r="H63" t="str">
        <v>RAHUL SHARMA</v>
      </c>
      <c r="I63" t="str">
        <f t="shared" ref="I63:I71" si="28">PROPER(H63)</f>
        <v>Rahul Sharma</v>
      </c>
      <c r="Q63" t="str">
        <v>mumbai</v>
      </c>
      <c r="R63" t="str">
        <f t="shared" ref="R63:R71" si="29">PROPER(Q63)</f>
        <v>Mumbai</v>
      </c>
      <c r="Z63" t="str">
        <v>EMP002</v>
      </c>
      <c r="AA63" t="str">
        <f t="shared" ref="AA63:AA71" si="30">PROPER(Z63)</f>
        <v>Emp002</v>
      </c>
    </row>
    <row r="64" spans="1:27">
      <c r="H64" t="str">
        <v>anjali verma</v>
      </c>
      <c r="I64" t="str">
        <f t="shared" si="28"/>
        <v>Anjali Verma</v>
      </c>
      <c r="Q64" t="str">
        <v>pune</v>
      </c>
      <c r="R64" t="str">
        <f t="shared" si="29"/>
        <v>Pune</v>
      </c>
      <c r="Z64" t="str">
        <v>emp003</v>
      </c>
      <c r="AA64" t="str">
        <f t="shared" si="30"/>
        <v>Emp003</v>
      </c>
    </row>
    <row r="65" spans="6:27">
      <c r="H65" t="str">
        <v>ROHIT kumar</v>
      </c>
      <c r="I65" t="str">
        <f t="shared" si="28"/>
        <v>Rohit Kumar</v>
      </c>
      <c r="Q65" t="str">
        <v>delhi</v>
      </c>
      <c r="R65" t="str">
        <f t="shared" si="29"/>
        <v>Delhi</v>
      </c>
      <c r="Z65" t="str">
        <v>EMP004</v>
      </c>
      <c r="AA65" t="str">
        <f t="shared" si="30"/>
        <v>Emp004</v>
      </c>
    </row>
    <row r="66" spans="6:27">
      <c r="H66" t="str">
        <v>neha SINGH</v>
      </c>
      <c r="I66" t="str">
        <f t="shared" si="28"/>
        <v>Neha Singh</v>
      </c>
      <c r="Q66" t="str">
        <v>jaipur</v>
      </c>
      <c r="R66" t="str">
        <f t="shared" si="29"/>
        <v>Jaipur</v>
      </c>
      <c r="Z66" t="str">
        <v>Emp005</v>
      </c>
      <c r="AA66" t="str">
        <f t="shared" si="30"/>
        <v>Emp005</v>
      </c>
    </row>
    <row r="67" spans="6:27">
      <c r="H67" t="str">
        <v>AMIT YADAV</v>
      </c>
      <c r="I67" t="str">
        <f t="shared" si="28"/>
        <v>Amit Yadav</v>
      </c>
      <c r="Q67" t="str">
        <v>delhi</v>
      </c>
      <c r="R67" t="str">
        <f t="shared" si="29"/>
        <v>Delhi</v>
      </c>
      <c r="Z67" t="str">
        <v>EMP006</v>
      </c>
      <c r="AA67" t="str">
        <f t="shared" si="30"/>
        <v>Emp006</v>
      </c>
    </row>
    <row r="68" spans="6:27">
      <c r="H68" t="str">
        <v>priya sharma</v>
      </c>
      <c r="I68" t="str">
        <f t="shared" si="28"/>
        <v>Priya Sharma</v>
      </c>
      <c r="Q68" t="str">
        <v>chandigarh</v>
      </c>
      <c r="R68" t="str">
        <f t="shared" si="29"/>
        <v>Chandigarh</v>
      </c>
      <c r="Z68" t="str">
        <v>emp007</v>
      </c>
      <c r="AA68" t="str">
        <f t="shared" si="30"/>
        <v>Emp007</v>
      </c>
    </row>
    <row r="69" spans="6:27">
      <c r="H69" t="str">
        <v>KARAN MEHTA</v>
      </c>
      <c r="I69" t="str">
        <f t="shared" si="28"/>
        <v>Karan Mehta</v>
      </c>
      <c r="Q69" t="str">
        <v>gurgaon</v>
      </c>
      <c r="R69" t="str">
        <f t="shared" si="29"/>
        <v>Gurgaon</v>
      </c>
      <c r="Z69" t="str">
        <v>EMP008</v>
      </c>
      <c r="AA69" t="str">
        <f t="shared" si="30"/>
        <v>Emp008</v>
      </c>
    </row>
    <row r="70" spans="6:27">
      <c r="H70" t="str">
        <v>sonu kumar</v>
      </c>
      <c r="I70" t="str">
        <f t="shared" si="28"/>
        <v>Sonu Kumar</v>
      </c>
      <c r="Q70" t="str">
        <v>noida</v>
      </c>
      <c r="R70" t="str">
        <f t="shared" si="29"/>
        <v>Noida</v>
      </c>
      <c r="Z70" t="str">
        <v>emp009</v>
      </c>
      <c r="AA70" t="str">
        <f t="shared" si="30"/>
        <v>Emp009</v>
      </c>
    </row>
    <row r="71" spans="6:27">
      <c r="H71" t="str">
        <v>POOJA VERMA</v>
      </c>
      <c r="I71" t="str">
        <f t="shared" si="28"/>
        <v>Pooja Verma</v>
      </c>
      <c r="Q71" t="str">
        <v>delhi</v>
      </c>
      <c r="R71" t="str">
        <f t="shared" si="29"/>
        <v>Delhi</v>
      </c>
      <c r="Z71" t="str">
        <v>EMP010</v>
      </c>
      <c r="AA71" t="str">
        <f t="shared" si="30"/>
        <v>Emp010</v>
      </c>
    </row>
    <row r="73" spans="6:27">
      <c r="F73">
        <v>2</v>
      </c>
      <c r="G73" t="s">
        <v>78</v>
      </c>
      <c r="H73" t="str" cm="1">
        <f t="array" ref="H73:H82">department</f>
        <v>sales</v>
      </c>
      <c r="I73" t="str">
        <f>PROPER(H73)</f>
        <v>Sales</v>
      </c>
      <c r="J73" s="6" t="str">
        <f t="shared" ref="J73" ca="1" si="31">_xlfn.FORMULATEXT(I73)</f>
        <v>=PROPER(H73)</v>
      </c>
      <c r="M73">
        <v>4</v>
      </c>
      <c r="N73" t="s">
        <v>80</v>
      </c>
      <c r="Q73" t="str" cm="1">
        <f t="array" ref="Q73:Q82">Name</f>
        <v>paras yadav</v>
      </c>
      <c r="R73" t="str">
        <f t="shared" ref="R73:T82" si="32">PROPER(Q73)</f>
        <v>Paras Yadav</v>
      </c>
      <c r="S73" t="str" cm="1">
        <f t="array" ref="S73:S82">city</f>
        <v>delhi</v>
      </c>
      <c r="T73" t="str">
        <f t="shared" si="32"/>
        <v>Delhi</v>
      </c>
    </row>
    <row r="74" spans="6:27">
      <c r="H74" t="str">
        <v>HR</v>
      </c>
      <c r="I74" t="str">
        <f t="shared" ref="I74:I82" si="33">PROPER(H74)</f>
        <v>Hr</v>
      </c>
      <c r="Q74" t="str">
        <v>RAHUL SHARMA</v>
      </c>
      <c r="R74" t="str">
        <f t="shared" si="32"/>
        <v>Rahul Sharma</v>
      </c>
      <c r="S74" t="str">
        <v>mumbai</v>
      </c>
      <c r="T74" t="str">
        <f t="shared" ref="T74" si="34">PROPER(S74)</f>
        <v>Mumbai</v>
      </c>
    </row>
    <row r="75" spans="6:27">
      <c r="H75" t="str">
        <v>IT</v>
      </c>
      <c r="I75" t="str">
        <f t="shared" si="33"/>
        <v>It</v>
      </c>
      <c r="Q75" t="str">
        <v>anjali verma</v>
      </c>
      <c r="R75" t="str">
        <f t="shared" si="32"/>
        <v>Anjali Verma</v>
      </c>
      <c r="S75" t="str">
        <v>pune</v>
      </c>
      <c r="T75" t="str">
        <f t="shared" ref="T75" si="35">PROPER(S75)</f>
        <v>Pune</v>
      </c>
    </row>
    <row r="76" spans="6:27">
      <c r="H76" t="str">
        <v>Finance</v>
      </c>
      <c r="I76" t="str">
        <f t="shared" si="33"/>
        <v>Finance</v>
      </c>
      <c r="Q76" t="str">
        <v>ROHIT kumar</v>
      </c>
      <c r="R76" t="str">
        <f t="shared" si="32"/>
        <v>Rohit Kumar</v>
      </c>
      <c r="S76" t="str">
        <v>delhi</v>
      </c>
      <c r="T76" t="str">
        <f t="shared" ref="T76" si="36">PROPER(S76)</f>
        <v>Delhi</v>
      </c>
    </row>
    <row r="77" spans="6:27">
      <c r="H77" t="str">
        <v>Sales</v>
      </c>
      <c r="I77" t="str">
        <f t="shared" si="33"/>
        <v>Sales</v>
      </c>
      <c r="Q77" t="str">
        <v>neha SINGH</v>
      </c>
      <c r="R77" t="str">
        <f t="shared" si="32"/>
        <v>Neha Singh</v>
      </c>
      <c r="S77" t="str">
        <v>jaipur</v>
      </c>
      <c r="T77" t="str">
        <f t="shared" ref="T77" si="37">PROPER(S77)</f>
        <v>Jaipur</v>
      </c>
    </row>
    <row r="78" spans="6:27">
      <c r="H78" t="str">
        <v>IT</v>
      </c>
      <c r="I78" t="str">
        <f t="shared" si="33"/>
        <v>It</v>
      </c>
      <c r="Q78" t="str">
        <v>AMIT YADAV</v>
      </c>
      <c r="R78" t="str">
        <f t="shared" si="32"/>
        <v>Amit Yadav</v>
      </c>
      <c r="S78" t="str">
        <v>delhi</v>
      </c>
      <c r="T78" t="str">
        <f t="shared" ref="T78" si="38">PROPER(S78)</f>
        <v>Delhi</v>
      </c>
    </row>
    <row r="79" spans="6:27">
      <c r="H79" t="str">
        <v>HR</v>
      </c>
      <c r="I79" t="str">
        <f t="shared" si="33"/>
        <v>Hr</v>
      </c>
      <c r="Q79" t="str">
        <v>priya sharma</v>
      </c>
      <c r="R79" t="str">
        <f t="shared" si="32"/>
        <v>Priya Sharma</v>
      </c>
      <c r="S79" t="str">
        <v>chandigarh</v>
      </c>
      <c r="T79" t="str">
        <f t="shared" ref="T79" si="39">PROPER(S79)</f>
        <v>Chandigarh</v>
      </c>
    </row>
    <row r="80" spans="6:27">
      <c r="H80" t="str">
        <v>Sales</v>
      </c>
      <c r="I80" t="str">
        <f t="shared" si="33"/>
        <v>Sales</v>
      </c>
      <c r="Q80" t="str">
        <v>KARAN MEHTA</v>
      </c>
      <c r="R80" t="str">
        <f t="shared" si="32"/>
        <v>Karan Mehta</v>
      </c>
      <c r="S80" t="str">
        <v>gurgaon</v>
      </c>
      <c r="T80" t="str">
        <f t="shared" ref="T80" si="40">PROPER(S80)</f>
        <v>Gurgaon</v>
      </c>
    </row>
    <row r="81" spans="1:20">
      <c r="H81" t="str">
        <v>Marketing</v>
      </c>
      <c r="I81" t="str">
        <f t="shared" si="33"/>
        <v>Marketing</v>
      </c>
      <c r="Q81" t="str">
        <v>sonu kumar</v>
      </c>
      <c r="R81" t="str">
        <f t="shared" si="32"/>
        <v>Sonu Kumar</v>
      </c>
      <c r="S81" t="str">
        <v>noida</v>
      </c>
      <c r="T81" t="str">
        <f t="shared" ref="T81" si="41">PROPER(S81)</f>
        <v>Noida</v>
      </c>
    </row>
    <row r="82" spans="1:20">
      <c r="H82" t="str">
        <v>Finance</v>
      </c>
      <c r="I82" t="str">
        <f t="shared" si="33"/>
        <v>Finance</v>
      </c>
      <c r="Q82" t="str">
        <v>POOJA VERMA</v>
      </c>
      <c r="R82" t="str">
        <f t="shared" si="32"/>
        <v>Pooja Verma</v>
      </c>
      <c r="S82" t="str">
        <v>delhi</v>
      </c>
      <c r="T82" t="str">
        <f t="shared" ref="T82" si="42">PROPER(S82)</f>
        <v>Delhi</v>
      </c>
    </row>
    <row r="85" spans="1:20">
      <c r="A85" t="s">
        <v>82</v>
      </c>
      <c r="B85" t="s">
        <v>60</v>
      </c>
      <c r="C85" t="s">
        <v>83</v>
      </c>
      <c r="D85" t="s">
        <v>69</v>
      </c>
      <c r="F85">
        <v>1</v>
      </c>
      <c r="G85" t="s">
        <v>84</v>
      </c>
      <c r="H85" t="str" cm="1">
        <f t="array" ref="H85:H94">Name</f>
        <v>paras yadav</v>
      </c>
      <c r="I85" t="str">
        <f>LOWER(H85)</f>
        <v>paras yadav</v>
      </c>
      <c r="K85">
        <v>3</v>
      </c>
      <c r="L85" t="s">
        <v>86</v>
      </c>
      <c r="N85" t="str" cm="1">
        <f t="array" ref="N85:N94">city</f>
        <v>delhi</v>
      </c>
      <c r="O85" t="str">
        <f t="shared" ref="O85:O94" si="43">LOWER(N85)</f>
        <v>delhi</v>
      </c>
      <c r="P85" s="6" t="str">
        <f t="shared" ref="P85" ca="1" si="44">_xlfn.FORMULATEXT(O85)</f>
        <v>=LOWER(N85)</v>
      </c>
    </row>
    <row r="86" spans="1:20">
      <c r="H86" t="str">
        <v>RAHUL SHARMA</v>
      </c>
      <c r="I86" t="str">
        <f t="shared" ref="I86:I94" si="45">LOWER(H86)</f>
        <v>rahul sharma</v>
      </c>
      <c r="N86" t="str">
        <v>mumbai</v>
      </c>
      <c r="O86" t="str">
        <f t="shared" si="43"/>
        <v>mumbai</v>
      </c>
    </row>
    <row r="87" spans="1:20">
      <c r="H87" t="str">
        <v>anjali verma</v>
      </c>
      <c r="I87" t="str">
        <f t="shared" si="45"/>
        <v>anjali verma</v>
      </c>
      <c r="N87" t="str">
        <v>pune</v>
      </c>
      <c r="O87" t="str">
        <f t="shared" si="43"/>
        <v>pune</v>
      </c>
    </row>
    <row r="88" spans="1:20">
      <c r="H88" t="str">
        <v>ROHIT kumar</v>
      </c>
      <c r="I88" t="str">
        <f t="shared" si="45"/>
        <v>rohit kumar</v>
      </c>
      <c r="N88" t="str">
        <v>delhi</v>
      </c>
      <c r="O88" t="str">
        <f t="shared" si="43"/>
        <v>delhi</v>
      </c>
    </row>
    <row r="89" spans="1:20">
      <c r="H89" t="str">
        <v>neha SINGH</v>
      </c>
      <c r="I89" t="str">
        <f t="shared" si="45"/>
        <v>neha singh</v>
      </c>
      <c r="N89" t="str">
        <v>jaipur</v>
      </c>
      <c r="O89" t="str">
        <f t="shared" si="43"/>
        <v>jaipur</v>
      </c>
    </row>
    <row r="90" spans="1:20">
      <c r="H90" t="str">
        <v>AMIT YADAV</v>
      </c>
      <c r="I90" t="str">
        <f t="shared" si="45"/>
        <v>amit yadav</v>
      </c>
      <c r="N90" t="str">
        <v>delhi</v>
      </c>
      <c r="O90" t="str">
        <f t="shared" si="43"/>
        <v>delhi</v>
      </c>
    </row>
    <row r="91" spans="1:20">
      <c r="H91" t="str">
        <v>priya sharma</v>
      </c>
      <c r="I91" t="str">
        <f t="shared" si="45"/>
        <v>priya sharma</v>
      </c>
      <c r="N91" t="str">
        <v>chandigarh</v>
      </c>
      <c r="O91" t="str">
        <f t="shared" si="43"/>
        <v>chandigarh</v>
      </c>
    </row>
    <row r="92" spans="1:20">
      <c r="H92" t="str">
        <v>KARAN MEHTA</v>
      </c>
      <c r="I92" t="str">
        <f t="shared" si="45"/>
        <v>karan mehta</v>
      </c>
      <c r="N92" t="str">
        <v>gurgaon</v>
      </c>
      <c r="O92" t="str">
        <f t="shared" si="43"/>
        <v>gurgaon</v>
      </c>
    </row>
    <row r="93" spans="1:20">
      <c r="H93" t="str">
        <v>sonu kumar</v>
      </c>
      <c r="I93" t="str">
        <f t="shared" si="45"/>
        <v>sonu kumar</v>
      </c>
      <c r="N93" t="str">
        <v>noida</v>
      </c>
      <c r="O93" t="str">
        <f t="shared" si="43"/>
        <v>noida</v>
      </c>
    </row>
    <row r="94" spans="1:20">
      <c r="H94" t="str">
        <v>POOJA VERMA</v>
      </c>
      <c r="I94" t="str">
        <f t="shared" si="45"/>
        <v>pooja verma</v>
      </c>
      <c r="N94" t="str">
        <v>delhi</v>
      </c>
      <c r="O94" t="str">
        <f t="shared" si="43"/>
        <v>delhi</v>
      </c>
    </row>
    <row r="96" spans="1:20">
      <c r="F96">
        <v>2</v>
      </c>
      <c r="G96" t="s">
        <v>85</v>
      </c>
      <c r="H96" t="str" cm="1">
        <f t="array" ref="H96:H105">department</f>
        <v>sales</v>
      </c>
      <c r="I96" t="str">
        <f t="shared" ref="I96:I105" si="46">LOWER(H96)</f>
        <v>sales</v>
      </c>
      <c r="L96">
        <v>4</v>
      </c>
      <c r="M96" t="s">
        <v>87</v>
      </c>
      <c r="P96" t="str" cm="1">
        <f t="array" ref="P96:P105">password</f>
        <v>abc123</v>
      </c>
      <c r="Q96" t="str">
        <f t="shared" ref="Q96:Q105" si="47">LOWER(P96)</f>
        <v>abc123</v>
      </c>
    </row>
    <row r="97" spans="1:23">
      <c r="H97" t="str">
        <v>HR</v>
      </c>
      <c r="I97" t="str">
        <f t="shared" si="46"/>
        <v>hr</v>
      </c>
      <c r="P97" t="str">
        <v>Rahul@1</v>
      </c>
      <c r="Q97" t="str">
        <f t="shared" si="47"/>
        <v>rahul@1</v>
      </c>
    </row>
    <row r="98" spans="1:23">
      <c r="H98" t="str">
        <v>IT</v>
      </c>
      <c r="I98" t="str">
        <f t="shared" si="46"/>
        <v>it</v>
      </c>
      <c r="P98" t="str">
        <v>pass123</v>
      </c>
      <c r="Q98" t="str">
        <f t="shared" si="47"/>
        <v>pass123</v>
      </c>
    </row>
    <row r="99" spans="1:23">
      <c r="H99" t="str">
        <v>Finance</v>
      </c>
      <c r="I99" t="str">
        <f t="shared" si="46"/>
        <v>finance</v>
      </c>
      <c r="P99" t="str">
        <v>admin</v>
      </c>
      <c r="Q99" t="str">
        <f t="shared" si="47"/>
        <v>admin</v>
      </c>
    </row>
    <row r="100" spans="1:23">
      <c r="H100" t="str">
        <v>Sales</v>
      </c>
      <c r="I100" t="str">
        <f t="shared" si="46"/>
        <v>sales</v>
      </c>
      <c r="P100" t="str">
        <v>Neha@12</v>
      </c>
      <c r="Q100" t="str">
        <f t="shared" si="47"/>
        <v>neha@12</v>
      </c>
    </row>
    <row r="101" spans="1:23">
      <c r="H101" t="str">
        <v>IT</v>
      </c>
      <c r="I101" t="str">
        <f t="shared" si="46"/>
        <v>it</v>
      </c>
      <c r="P101" t="str">
        <v>hello</v>
      </c>
      <c r="Q101" t="str">
        <f t="shared" si="47"/>
        <v>hello</v>
      </c>
    </row>
    <row r="102" spans="1:23">
      <c r="H102" t="str">
        <v>HR</v>
      </c>
      <c r="I102" t="str">
        <f t="shared" si="46"/>
        <v>hr</v>
      </c>
      <c r="P102" t="str">
        <v>test01</v>
      </c>
      <c r="Q102" t="str">
        <f t="shared" si="47"/>
        <v>test01</v>
      </c>
    </row>
    <row r="103" spans="1:23">
      <c r="H103" t="str">
        <v>Sales</v>
      </c>
      <c r="I103" t="str">
        <f t="shared" si="46"/>
        <v>sales</v>
      </c>
      <c r="P103" t="str">
        <v>Excel</v>
      </c>
      <c r="Q103" t="str">
        <f t="shared" si="47"/>
        <v>excel</v>
      </c>
    </row>
    <row r="104" spans="1:23">
      <c r="H104" t="str">
        <v>Marketing</v>
      </c>
      <c r="I104" t="str">
        <f t="shared" si="46"/>
        <v>marketing</v>
      </c>
      <c r="P104" t="str">
        <v>data</v>
      </c>
      <c r="Q104" t="str">
        <f t="shared" si="47"/>
        <v>data</v>
      </c>
    </row>
    <row r="105" spans="1:23">
      <c r="H105" t="str">
        <v>Finance</v>
      </c>
      <c r="I105" t="str">
        <f t="shared" si="46"/>
        <v>finance</v>
      </c>
      <c r="P105" t="str">
        <v>PowerBI</v>
      </c>
      <c r="Q105" t="str">
        <f t="shared" si="47"/>
        <v>powerbi</v>
      </c>
    </row>
    <row r="107" spans="1:23">
      <c r="A107" t="s">
        <v>75</v>
      </c>
      <c r="B107" t="s">
        <v>60</v>
      </c>
      <c r="C107" t="s">
        <v>88</v>
      </c>
      <c r="D107" t="s">
        <v>69</v>
      </c>
      <c r="F107">
        <v>1</v>
      </c>
      <c r="G107" t="s">
        <v>89</v>
      </c>
      <c r="H107" t="str" cm="1">
        <f t="array" ref="H107:H116">Name</f>
        <v>paras yadav</v>
      </c>
      <c r="I107" t="str">
        <f>UPPER(H107)</f>
        <v>PARAS YADAV</v>
      </c>
      <c r="L107">
        <v>3</v>
      </c>
      <c r="M107" t="s">
        <v>91</v>
      </c>
      <c r="P107" t="str" cm="1">
        <f t="array" ref="P107:P116">city</f>
        <v>delhi</v>
      </c>
      <c r="Q107" t="str">
        <f>UPPER(P107)</f>
        <v>DELHI</v>
      </c>
      <c r="S107">
        <v>5</v>
      </c>
      <c r="T107" t="s">
        <v>93</v>
      </c>
      <c r="V107" t="str" cm="1">
        <f t="array" ref="V107:V116">code</f>
        <v>emp001</v>
      </c>
      <c r="W107" t="str">
        <f>UPPER(V107)</f>
        <v>EMP001</v>
      </c>
    </row>
    <row r="108" spans="1:23">
      <c r="H108" t="str">
        <v>RAHUL SHARMA</v>
      </c>
      <c r="I108" t="str">
        <f t="shared" ref="I108:I116" si="48">UPPER(H108)</f>
        <v>RAHUL SHARMA</v>
      </c>
      <c r="P108" t="str">
        <v>mumbai</v>
      </c>
      <c r="Q108" t="str">
        <f t="shared" ref="Q108:Q116" si="49">UPPER(P108)</f>
        <v>MUMBAI</v>
      </c>
      <c r="V108" t="str">
        <v>EMP002</v>
      </c>
      <c r="W108" t="str">
        <f t="shared" ref="W108:W116" si="50">UPPER(V108)</f>
        <v>EMP002</v>
      </c>
    </row>
    <row r="109" spans="1:23">
      <c r="H109" t="str">
        <v>anjali verma</v>
      </c>
      <c r="I109" t="str">
        <f t="shared" si="48"/>
        <v>ANJALI VERMA</v>
      </c>
      <c r="P109" t="str">
        <v>pune</v>
      </c>
      <c r="Q109" t="str">
        <f t="shared" si="49"/>
        <v>PUNE</v>
      </c>
      <c r="V109" t="str">
        <v>emp003</v>
      </c>
      <c r="W109" t="str">
        <f t="shared" si="50"/>
        <v>EMP003</v>
      </c>
    </row>
    <row r="110" spans="1:23">
      <c r="H110" t="str">
        <v>ROHIT kumar</v>
      </c>
      <c r="I110" t="str">
        <f t="shared" si="48"/>
        <v>ROHIT KUMAR</v>
      </c>
      <c r="P110" t="str">
        <v>delhi</v>
      </c>
      <c r="Q110" t="str">
        <f t="shared" si="49"/>
        <v>DELHI</v>
      </c>
      <c r="V110" t="str">
        <v>EMP004</v>
      </c>
      <c r="W110" t="str">
        <f t="shared" si="50"/>
        <v>EMP004</v>
      </c>
    </row>
    <row r="111" spans="1:23">
      <c r="H111" t="str">
        <v>neha SINGH</v>
      </c>
      <c r="I111" t="str">
        <f t="shared" si="48"/>
        <v>NEHA SINGH</v>
      </c>
      <c r="P111" t="str">
        <v>jaipur</v>
      </c>
      <c r="Q111" t="str">
        <f t="shared" si="49"/>
        <v>JAIPUR</v>
      </c>
      <c r="V111" t="str">
        <v>Emp005</v>
      </c>
      <c r="W111" t="str">
        <f t="shared" si="50"/>
        <v>EMP005</v>
      </c>
    </row>
    <row r="112" spans="1:23">
      <c r="H112" t="str">
        <v>AMIT YADAV</v>
      </c>
      <c r="I112" t="str">
        <f t="shared" si="48"/>
        <v>AMIT YADAV</v>
      </c>
      <c r="P112" t="str">
        <v>delhi</v>
      </c>
      <c r="Q112" t="str">
        <f t="shared" si="49"/>
        <v>DELHI</v>
      </c>
      <c r="V112" t="str">
        <v>EMP006</v>
      </c>
      <c r="W112" t="str">
        <f t="shared" si="50"/>
        <v>EMP006</v>
      </c>
    </row>
    <row r="113" spans="6:23">
      <c r="H113" t="str">
        <v>priya sharma</v>
      </c>
      <c r="I113" t="str">
        <f t="shared" si="48"/>
        <v>PRIYA SHARMA</v>
      </c>
      <c r="P113" t="str">
        <v>chandigarh</v>
      </c>
      <c r="Q113" t="str">
        <f t="shared" si="49"/>
        <v>CHANDIGARH</v>
      </c>
      <c r="V113" t="str">
        <v>emp007</v>
      </c>
      <c r="W113" t="str">
        <f t="shared" si="50"/>
        <v>EMP007</v>
      </c>
    </row>
    <row r="114" spans="6:23">
      <c r="H114" t="str">
        <v>KARAN MEHTA</v>
      </c>
      <c r="I114" t="str">
        <f t="shared" si="48"/>
        <v>KARAN MEHTA</v>
      </c>
      <c r="P114" t="str">
        <v>gurgaon</v>
      </c>
      <c r="Q114" t="str">
        <f t="shared" si="49"/>
        <v>GURGAON</v>
      </c>
      <c r="V114" t="str">
        <v>EMP008</v>
      </c>
      <c r="W114" t="str">
        <f t="shared" si="50"/>
        <v>EMP008</v>
      </c>
    </row>
    <row r="115" spans="6:23">
      <c r="H115" t="str">
        <v>sonu kumar</v>
      </c>
      <c r="I115" t="str">
        <f t="shared" si="48"/>
        <v>SONU KUMAR</v>
      </c>
      <c r="P115" t="str">
        <v>noida</v>
      </c>
      <c r="Q115" t="str">
        <f t="shared" si="49"/>
        <v>NOIDA</v>
      </c>
      <c r="V115" t="str">
        <v>emp009</v>
      </c>
      <c r="W115" t="str">
        <f t="shared" si="50"/>
        <v>EMP009</v>
      </c>
    </row>
    <row r="116" spans="6:23">
      <c r="H116" t="str">
        <v>POOJA VERMA</v>
      </c>
      <c r="I116" t="str">
        <f t="shared" si="48"/>
        <v>POOJA VERMA</v>
      </c>
      <c r="P116" t="str">
        <v>delhi</v>
      </c>
      <c r="Q116" t="str">
        <f t="shared" si="49"/>
        <v>DELHI</v>
      </c>
      <c r="V116" t="str">
        <v>EMP010</v>
      </c>
      <c r="W116" t="str">
        <f t="shared" si="50"/>
        <v>EMP010</v>
      </c>
    </row>
    <row r="118" spans="6:23">
      <c r="F118">
        <v>2</v>
      </c>
      <c r="G118" t="s">
        <v>90</v>
      </c>
      <c r="H118" t="str" cm="1">
        <f t="array" ref="H118:H127">department</f>
        <v>sales</v>
      </c>
      <c r="I118" t="str">
        <f>UPPER(H118)</f>
        <v>SALES</v>
      </c>
    </row>
    <row r="119" spans="6:23">
      <c r="H119" t="str">
        <v>HR</v>
      </c>
      <c r="I119" t="str">
        <f t="shared" ref="I119:I127" si="51">UPPER(H119)</f>
        <v>HR</v>
      </c>
      <c r="L119">
        <v>4</v>
      </c>
      <c r="M119" t="s">
        <v>92</v>
      </c>
      <c r="P119" t="str" cm="1">
        <f t="array" ref="P119:P128">password</f>
        <v>abc123</v>
      </c>
      <c r="Q119" t="str">
        <f t="shared" ref="Q119:Q128" si="52">UPPER(P119)</f>
        <v>ABC123</v>
      </c>
    </row>
    <row r="120" spans="6:23">
      <c r="H120" t="str">
        <v>IT</v>
      </c>
      <c r="I120" t="str">
        <f t="shared" si="51"/>
        <v>IT</v>
      </c>
      <c r="P120" t="str">
        <v>Rahul@1</v>
      </c>
      <c r="Q120" t="str">
        <f t="shared" si="52"/>
        <v>RAHUL@1</v>
      </c>
    </row>
    <row r="121" spans="6:23">
      <c r="H121" t="str">
        <v>Finance</v>
      </c>
      <c r="I121" t="str">
        <f t="shared" si="51"/>
        <v>FINANCE</v>
      </c>
      <c r="P121" t="str">
        <v>pass123</v>
      </c>
      <c r="Q121" t="str">
        <f t="shared" si="52"/>
        <v>PASS123</v>
      </c>
    </row>
    <row r="122" spans="6:23">
      <c r="H122" t="str">
        <v>Sales</v>
      </c>
      <c r="I122" t="str">
        <f t="shared" si="51"/>
        <v>SALES</v>
      </c>
      <c r="P122" t="str">
        <v>admin</v>
      </c>
      <c r="Q122" t="str">
        <f t="shared" si="52"/>
        <v>ADMIN</v>
      </c>
    </row>
    <row r="123" spans="6:23">
      <c r="H123" t="str">
        <v>IT</v>
      </c>
      <c r="I123" t="str">
        <f t="shared" si="51"/>
        <v>IT</v>
      </c>
      <c r="P123" t="str">
        <v>Neha@12</v>
      </c>
      <c r="Q123" t="str">
        <f t="shared" si="52"/>
        <v>NEHA@12</v>
      </c>
    </row>
    <row r="124" spans="6:23">
      <c r="H124" t="str">
        <v>HR</v>
      </c>
      <c r="I124" t="str">
        <f t="shared" si="51"/>
        <v>HR</v>
      </c>
      <c r="P124" t="str">
        <v>hello</v>
      </c>
      <c r="Q124" t="str">
        <f t="shared" si="52"/>
        <v>HELLO</v>
      </c>
    </row>
    <row r="125" spans="6:23">
      <c r="H125" t="str">
        <v>Sales</v>
      </c>
      <c r="I125" t="str">
        <f t="shared" si="51"/>
        <v>SALES</v>
      </c>
      <c r="P125" t="str">
        <v>test01</v>
      </c>
      <c r="Q125" t="str">
        <f t="shared" si="52"/>
        <v>TEST01</v>
      </c>
    </row>
    <row r="126" spans="6:23">
      <c r="H126" t="str">
        <v>Marketing</v>
      </c>
      <c r="I126" t="str">
        <f t="shared" si="51"/>
        <v>MARKETING</v>
      </c>
      <c r="P126" t="str">
        <v>Excel</v>
      </c>
      <c r="Q126" t="str">
        <f t="shared" si="52"/>
        <v>EXCEL</v>
      </c>
    </row>
    <row r="127" spans="6:23">
      <c r="H127" t="str">
        <v>Finance</v>
      </c>
      <c r="I127" t="str">
        <f t="shared" si="51"/>
        <v>FINANCE</v>
      </c>
      <c r="P127" t="str">
        <v>data</v>
      </c>
      <c r="Q127" t="str">
        <f t="shared" si="52"/>
        <v>DATA</v>
      </c>
    </row>
    <row r="128" spans="6:23">
      <c r="P128" t="str">
        <v>PowerBI</v>
      </c>
      <c r="Q128" t="str">
        <f t="shared" si="52"/>
        <v>POWERBI</v>
      </c>
    </row>
    <row r="129" spans="1:26">
      <c r="A129" t="s">
        <v>75</v>
      </c>
      <c r="B129" t="s">
        <v>60</v>
      </c>
      <c r="C129" t="s">
        <v>94</v>
      </c>
      <c r="D129" t="s">
        <v>69</v>
      </c>
      <c r="F129">
        <v>1</v>
      </c>
      <c r="G129" t="s">
        <v>95</v>
      </c>
      <c r="H129" cm="1">
        <f t="array" ref="H129:H138">Salary</f>
        <v>35000</v>
      </c>
      <c r="I129" t="str" cm="1">
        <f t="array" ref="I129:I138">IF(Salary&gt;=50000,"HIGH","LOW")</f>
        <v>LOW</v>
      </c>
    </row>
    <row r="130" spans="1:26">
      <c r="H130">
        <v>42000</v>
      </c>
      <c r="I130" t="str">
        <v>LOW</v>
      </c>
      <c r="L130">
        <v>3</v>
      </c>
      <c r="M130" t="s">
        <v>97</v>
      </c>
      <c r="P130" t="str" cm="1">
        <f t="array" ref="P130:P139">status</f>
        <v>active</v>
      </c>
      <c r="Q130" t="str" cm="1">
        <f t="array" ref="Q130:Q139">IF(status=P130,"WORKING","NOT WORKING")</f>
        <v>WORKING</v>
      </c>
      <c r="S130">
        <v>5</v>
      </c>
      <c r="T130" t="s">
        <v>99</v>
      </c>
      <c r="Y130" t="str" cm="1">
        <f t="array" ref="Y130:Y139">city</f>
        <v>delhi</v>
      </c>
      <c r="Z130" t="str" cm="1">
        <f t="array" ref="Z130:Z139">IF(city=Y130,"HEAD OFFICE", "BRANCH OFFICE")</f>
        <v>HEAD OFFICE</v>
      </c>
    </row>
    <row r="131" spans="1:26">
      <c r="H131">
        <v>58000</v>
      </c>
      <c r="I131" t="str">
        <v>HIGH</v>
      </c>
      <c r="P131" t="str">
        <v>inactive</v>
      </c>
      <c r="Q131" t="str">
        <v>NOT WORKING</v>
      </c>
      <c r="Y131" t="str">
        <v>mumbai</v>
      </c>
      <c r="Z131" t="str">
        <v>BRANCH OFFICE</v>
      </c>
    </row>
    <row r="132" spans="1:26">
      <c r="H132">
        <v>29000</v>
      </c>
      <c r="I132" t="str">
        <v>LOW</v>
      </c>
      <c r="P132" t="str">
        <v>active</v>
      </c>
      <c r="Q132" t="str">
        <v>WORKING</v>
      </c>
      <c r="Y132" t="str">
        <v>pune</v>
      </c>
      <c r="Z132" t="str">
        <v>BRANCH OFFICE</v>
      </c>
    </row>
    <row r="133" spans="1:26">
      <c r="H133">
        <v>62000</v>
      </c>
      <c r="I133" t="str">
        <v>HIGH</v>
      </c>
      <c r="P133" t="str">
        <v>inactive</v>
      </c>
      <c r="Q133" t="str">
        <v>NOT WORKING</v>
      </c>
      <c r="Y133" t="str">
        <v>delhi</v>
      </c>
      <c r="Z133" t="str">
        <v>HEAD OFFICE</v>
      </c>
    </row>
    <row r="134" spans="1:26">
      <c r="H134">
        <v>48000</v>
      </c>
      <c r="I134" t="str">
        <v>LOW</v>
      </c>
      <c r="P134" t="str">
        <v>active</v>
      </c>
      <c r="Q134" t="str">
        <v>WORKING</v>
      </c>
      <c r="Y134" t="str">
        <v>jaipur</v>
      </c>
      <c r="Z134" t="str">
        <v>BRANCH OFFICE</v>
      </c>
    </row>
    <row r="135" spans="1:26">
      <c r="H135">
        <v>39000</v>
      </c>
      <c r="I135" t="str">
        <v>LOW</v>
      </c>
      <c r="P135" t="str">
        <v>active</v>
      </c>
      <c r="Q135" t="str">
        <v>WORKING</v>
      </c>
      <c r="Y135" t="str">
        <v>delhi</v>
      </c>
      <c r="Z135" t="str">
        <v>HEAD OFFICE</v>
      </c>
    </row>
    <row r="136" spans="1:26">
      <c r="H136">
        <v>70000</v>
      </c>
      <c r="I136" t="str">
        <v>HIGH</v>
      </c>
      <c r="P136" t="str">
        <v>inactive</v>
      </c>
      <c r="Q136" t="str">
        <v>NOT WORKING</v>
      </c>
      <c r="Y136" t="str">
        <v>chandigarh</v>
      </c>
      <c r="Z136" t="str">
        <v>BRANCH OFFICE</v>
      </c>
    </row>
    <row r="137" spans="1:26">
      <c r="H137">
        <v>33000</v>
      </c>
      <c r="I137" t="str">
        <v>LOW</v>
      </c>
      <c r="P137" t="str">
        <v>active</v>
      </c>
      <c r="Q137" t="str">
        <v>WORKING</v>
      </c>
      <c r="Y137" t="str">
        <v>gurgaon</v>
      </c>
      <c r="Z137" t="str">
        <v>BRANCH OFFICE</v>
      </c>
    </row>
    <row r="138" spans="1:26">
      <c r="H138">
        <v>54000</v>
      </c>
      <c r="I138" t="str">
        <v>HIGH</v>
      </c>
      <c r="P138" t="str">
        <v>inactive</v>
      </c>
      <c r="Q138" t="str">
        <v>NOT WORKING</v>
      </c>
      <c r="Y138" t="str">
        <v>noida</v>
      </c>
      <c r="Z138" t="str">
        <v>BRANCH OFFICE</v>
      </c>
    </row>
    <row r="139" spans="1:26">
      <c r="P139" t="str">
        <v>active</v>
      </c>
      <c r="Q139" t="str">
        <v>WORKING</v>
      </c>
      <c r="Y139" t="str">
        <v>delhi</v>
      </c>
      <c r="Z139" t="str">
        <v>HEAD OFFICE</v>
      </c>
    </row>
    <row r="140" spans="1:26">
      <c r="F140">
        <v>2</v>
      </c>
      <c r="G140" t="s">
        <v>96</v>
      </c>
      <c r="H140" cm="1">
        <f t="array" ref="H140:H149">Bonus</f>
        <v>5000</v>
      </c>
      <c r="I140" t="str" cm="1">
        <f t="array" ref="I140:I149">IF(Bonus&gt;=6000,"GOOD","NORMAL")</f>
        <v>NORMAL</v>
      </c>
    </row>
    <row r="141" spans="1:26">
      <c r="H141">
        <v>4000</v>
      </c>
      <c r="I141" t="str">
        <v>NORMAL</v>
      </c>
      <c r="K141">
        <v>4</v>
      </c>
      <c r="L141" t="s">
        <v>98</v>
      </c>
      <c r="P141" t="str" cm="1">
        <f t="array" ref="P141:P150">department</f>
        <v>sales</v>
      </c>
      <c r="Q141" t="str" cm="1">
        <f t="array" ref="Q141:Q150">IF(department=P141,"TARGET TEAM", "OTHER TEAM")</f>
        <v>TARGET TEAM</v>
      </c>
    </row>
    <row r="142" spans="1:26">
      <c r="H142">
        <v>6000</v>
      </c>
      <c r="I142" t="str">
        <v>GOOD</v>
      </c>
      <c r="P142" t="str">
        <v>HR</v>
      </c>
      <c r="Q142" t="str">
        <v>OTHER TEAM</v>
      </c>
    </row>
    <row r="143" spans="1:26">
      <c r="H143">
        <v>3000</v>
      </c>
      <c r="I143" t="str">
        <v>NORMAL</v>
      </c>
      <c r="P143" t="str">
        <v>IT</v>
      </c>
      <c r="Q143" t="str">
        <v>OTHER TEAM</v>
      </c>
    </row>
    <row r="144" spans="1:26">
      <c r="H144">
        <v>7000</v>
      </c>
      <c r="I144" t="str">
        <v>GOOD</v>
      </c>
      <c r="P144" t="str">
        <v>Finance</v>
      </c>
      <c r="Q144" t="str">
        <v>OTHER TEAM</v>
      </c>
    </row>
    <row r="145" spans="1:17">
      <c r="H145">
        <v>5500</v>
      </c>
      <c r="I145" t="str">
        <v>NORMAL</v>
      </c>
      <c r="P145" t="str">
        <v>Sales</v>
      </c>
      <c r="Q145" t="str">
        <v>TARGET TEAM</v>
      </c>
    </row>
    <row r="146" spans="1:17">
      <c r="H146">
        <v>2500</v>
      </c>
      <c r="I146" t="str">
        <v>NORMAL</v>
      </c>
      <c r="P146" t="str">
        <v>IT</v>
      </c>
      <c r="Q146" t="str">
        <v>OTHER TEAM</v>
      </c>
    </row>
    <row r="147" spans="1:17">
      <c r="H147">
        <v>9000</v>
      </c>
      <c r="I147" t="str">
        <v>GOOD</v>
      </c>
      <c r="P147" t="str">
        <v>HR</v>
      </c>
      <c r="Q147" t="str">
        <v>OTHER TEAM</v>
      </c>
    </row>
    <row r="148" spans="1:17">
      <c r="H148">
        <v>3500</v>
      </c>
      <c r="I148" t="str">
        <v>NORMAL</v>
      </c>
      <c r="P148" t="str">
        <v>Sales</v>
      </c>
      <c r="Q148" t="str">
        <v>TARGET TEAM</v>
      </c>
    </row>
    <row r="149" spans="1:17">
      <c r="H149">
        <v>8000</v>
      </c>
      <c r="I149" t="str">
        <v>GOOD</v>
      </c>
      <c r="P149" t="str">
        <v>Marketing</v>
      </c>
      <c r="Q149" t="str">
        <v>OTHER TEAM</v>
      </c>
    </row>
    <row r="150" spans="1:17">
      <c r="P150" t="str">
        <v>Finance</v>
      </c>
      <c r="Q150" t="str">
        <v>OTHER TEAM</v>
      </c>
    </row>
    <row r="153" spans="1:17">
      <c r="A153" t="s">
        <v>100</v>
      </c>
      <c r="B153" t="s">
        <v>101</v>
      </c>
      <c r="C153" t="s">
        <v>102</v>
      </c>
      <c r="D153" t="s">
        <v>103</v>
      </c>
      <c r="F153">
        <v>1</v>
      </c>
      <c r="G153" t="s">
        <v>104</v>
      </c>
      <c r="H153" t="str" cm="1">
        <f t="array" ref="H153:H162">status</f>
        <v>active</v>
      </c>
      <c r="I153" t="b">
        <f>NOT(H153="ACTIVE")</f>
        <v>0</v>
      </c>
      <c r="K153">
        <v>3</v>
      </c>
      <c r="L153" t="s">
        <v>106</v>
      </c>
      <c r="N153" t="str" cm="1">
        <f t="array" ref="N153:N162">city</f>
        <v>delhi</v>
      </c>
      <c r="O153" t="b">
        <f>NOT(N153="delhi")</f>
        <v>0</v>
      </c>
    </row>
    <row r="154" spans="1:17">
      <c r="H154" t="str">
        <v>inactive</v>
      </c>
      <c r="I154" t="b">
        <f t="shared" ref="I154:I162" si="53">NOT(H154="ACTIVE")</f>
        <v>1</v>
      </c>
      <c r="N154" t="str">
        <v>mumbai</v>
      </c>
      <c r="O154" t="b">
        <f t="shared" ref="O154:O162" si="54">NOT(N154="delhi")</f>
        <v>1</v>
      </c>
    </row>
    <row r="155" spans="1:17">
      <c r="H155" t="str">
        <v>active</v>
      </c>
      <c r="I155" t="b">
        <f t="shared" si="53"/>
        <v>0</v>
      </c>
      <c r="N155" t="str">
        <v>pune</v>
      </c>
      <c r="O155" t="b">
        <f t="shared" si="54"/>
        <v>1</v>
      </c>
    </row>
    <row r="156" spans="1:17">
      <c r="H156" t="str">
        <v>inactive</v>
      </c>
      <c r="I156" t="b">
        <f t="shared" si="53"/>
        <v>1</v>
      </c>
      <c r="N156" t="str">
        <v>delhi</v>
      </c>
      <c r="O156" t="b">
        <f t="shared" si="54"/>
        <v>0</v>
      </c>
    </row>
    <row r="157" spans="1:17">
      <c r="H157" t="str">
        <v>active</v>
      </c>
      <c r="I157" t="b">
        <f t="shared" si="53"/>
        <v>0</v>
      </c>
      <c r="N157" t="str">
        <v>jaipur</v>
      </c>
      <c r="O157" t="b">
        <f t="shared" si="54"/>
        <v>1</v>
      </c>
    </row>
    <row r="158" spans="1:17">
      <c r="H158" t="str">
        <v>active</v>
      </c>
      <c r="I158" t="b">
        <f t="shared" si="53"/>
        <v>0</v>
      </c>
      <c r="N158" t="str">
        <v>delhi</v>
      </c>
      <c r="O158" t="b">
        <f t="shared" si="54"/>
        <v>0</v>
      </c>
    </row>
    <row r="159" spans="1:17">
      <c r="H159" t="str">
        <v>inactive</v>
      </c>
      <c r="I159" t="b">
        <f t="shared" si="53"/>
        <v>1</v>
      </c>
      <c r="N159" t="str">
        <v>chandigarh</v>
      </c>
      <c r="O159" t="b">
        <f t="shared" si="54"/>
        <v>1</v>
      </c>
    </row>
    <row r="160" spans="1:17">
      <c r="H160" t="str">
        <v>active</v>
      </c>
      <c r="I160" t="b">
        <f t="shared" si="53"/>
        <v>0</v>
      </c>
      <c r="N160" t="str">
        <v>gurgaon</v>
      </c>
      <c r="O160" t="b">
        <f t="shared" si="54"/>
        <v>1</v>
      </c>
    </row>
    <row r="161" spans="6:15">
      <c r="H161" t="str">
        <v>inactive</v>
      </c>
      <c r="I161" t="b">
        <f t="shared" si="53"/>
        <v>1</v>
      </c>
      <c r="N161" t="str">
        <v>noida</v>
      </c>
      <c r="O161" t="b">
        <f t="shared" si="54"/>
        <v>1</v>
      </c>
    </row>
    <row r="162" spans="6:15">
      <c r="H162" t="str">
        <v>active</v>
      </c>
      <c r="I162" t="b">
        <f t="shared" si="53"/>
        <v>0</v>
      </c>
      <c r="N162" t="str">
        <v>delhi</v>
      </c>
      <c r="O162" t="b">
        <f t="shared" si="54"/>
        <v>0</v>
      </c>
    </row>
    <row r="164" spans="6:15">
      <c r="F164">
        <v>2</v>
      </c>
      <c r="G164" t="s">
        <v>105</v>
      </c>
      <c r="H164" t="str" cm="1">
        <f t="array" ref="H164:H173">department</f>
        <v>sales</v>
      </c>
      <c r="I164" t="b">
        <f>NOT(H164="sales")</f>
        <v>0</v>
      </c>
      <c r="K164">
        <v>4</v>
      </c>
      <c r="L164" t="s">
        <v>107</v>
      </c>
      <c r="M164">
        <v>58000</v>
      </c>
      <c r="N164" t="b">
        <f>NOT(M164="50000")</f>
        <v>1</v>
      </c>
    </row>
    <row r="165" spans="6:15">
      <c r="H165" t="str">
        <v>HR</v>
      </c>
      <c r="I165" t="b">
        <f t="shared" ref="I165:I173" si="55">NOT(H165="sales")</f>
        <v>1</v>
      </c>
    </row>
    <row r="166" spans="6:15">
      <c r="H166" t="str">
        <v>IT</v>
      </c>
      <c r="I166" t="b">
        <f t="shared" si="55"/>
        <v>1</v>
      </c>
    </row>
    <row r="167" spans="6:15">
      <c r="H167" t="str">
        <v>Finance</v>
      </c>
      <c r="I167" t="b">
        <f t="shared" si="55"/>
        <v>1</v>
      </c>
      <c r="K167">
        <v>5</v>
      </c>
      <c r="L167" t="s">
        <v>108</v>
      </c>
      <c r="M167">
        <v>4000</v>
      </c>
      <c r="N167" t="b">
        <f>NOT(M167="5000")</f>
        <v>1</v>
      </c>
    </row>
    <row r="168" spans="6:15">
      <c r="H168" t="str">
        <v>Sales</v>
      </c>
      <c r="I168" t="b">
        <f t="shared" si="55"/>
        <v>0</v>
      </c>
    </row>
    <row r="169" spans="6:15">
      <c r="H169" t="str">
        <v>IT</v>
      </c>
      <c r="I169" t="b">
        <f t="shared" si="55"/>
        <v>1</v>
      </c>
    </row>
    <row r="170" spans="6:15">
      <c r="H170" t="str">
        <v>HR</v>
      </c>
      <c r="I170" t="b">
        <f t="shared" si="55"/>
        <v>1</v>
      </c>
    </row>
    <row r="171" spans="6:15">
      <c r="H171" t="str">
        <v>Sales</v>
      </c>
      <c r="I171" t="b">
        <f t="shared" si="55"/>
        <v>0</v>
      </c>
    </row>
    <row r="172" spans="6:15">
      <c r="H172" t="str">
        <v>Marketing</v>
      </c>
      <c r="I172" t="b">
        <f t="shared" si="55"/>
        <v>1</v>
      </c>
    </row>
    <row r="173" spans="6:15">
      <c r="H173" t="str">
        <v>Finance</v>
      </c>
      <c r="I173" t="b">
        <f t="shared" si="55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13</vt:i4>
      </vt:variant>
    </vt:vector>
  </HeadingPairs>
  <TitlesOfParts>
    <vt:vector size="14" baseType="lpstr">
      <vt:lpstr>excel function task</vt:lpstr>
      <vt:lpstr>active</vt:lpstr>
      <vt:lpstr>Bonus</vt:lpstr>
      <vt:lpstr>city</vt:lpstr>
      <vt:lpstr>code</vt:lpstr>
      <vt:lpstr>confirm_password</vt:lpstr>
      <vt:lpstr>data_base</vt:lpstr>
      <vt:lpstr>department</vt:lpstr>
      <vt:lpstr>ID</vt:lpstr>
      <vt:lpstr>Name</vt:lpstr>
      <vt:lpstr>password</vt:lpstr>
      <vt:lpstr>Salary</vt:lpstr>
      <vt:lpstr>status</vt:lpstr>
      <vt:lpstr>Text_Number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 Yadav</dc:creator>
  <cp:lastModifiedBy>Paras Yadav</cp:lastModifiedBy>
  <dcterms:created xsi:type="dcterms:W3CDTF">2026-07-29T13:30:09Z</dcterms:created>
  <dcterms:modified xsi:type="dcterms:W3CDTF">2026-07-29T14:34:39Z</dcterms:modified>
</cp:coreProperties>
</file>