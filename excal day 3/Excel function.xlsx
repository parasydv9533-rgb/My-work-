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My-work-\excal day 3\"/>
    </mc:Choice>
  </mc:AlternateContent>
  <xr:revisionPtr revIDLastSave="0" documentId="13_ncr:1_{C9F90C3D-0DF3-4C74-923B-D5C3AD23052D}" xr6:coauthVersionLast="47" xr6:coauthVersionMax="47" xr10:uidLastSave="{00000000-0000-0000-0000-000000000000}"/>
  <bookViews>
    <workbookView xWindow="-108" yWindow="-108" windowWidth="23256" windowHeight="12456" xr2:uid="{30D0D9DE-881A-44E7-AF12-C8B801AB6087}"/>
  </bookViews>
  <sheets>
    <sheet name="Excel Function" sheetId="1" r:id="rId1"/>
  </sheets>
  <definedNames>
    <definedName name="City">'Excel Function'!$D$2:$D$11</definedName>
    <definedName name="Email">'Excel Function'!$E$2:$E$11</definedName>
    <definedName name="Employee_Code">'Excel Function'!$C$2:$C$11</definedName>
    <definedName name="ID">'Excel Function'!$A$2:$A$11</definedName>
    <definedName name="Mobile">'Excel Function'!$F$2:$F$11</definedName>
    <definedName name="Name">'Excel Function'!$B$2:$B$11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2" i="1" l="1"/>
  <c r="N131" i="1"/>
  <c r="N130" i="1"/>
  <c r="N129" i="1"/>
  <c r="N128" i="1"/>
  <c r="N127" i="1"/>
  <c r="N126" i="1"/>
  <c r="N125" i="1"/>
  <c r="N124" i="1"/>
  <c r="N123" i="1"/>
  <c r="M123" i="1" a="1"/>
  <c r="M123" i="1" s="1"/>
  <c r="H132" i="1"/>
  <c r="H131" i="1"/>
  <c r="H130" i="1"/>
  <c r="H129" i="1"/>
  <c r="H128" i="1"/>
  <c r="H127" i="1"/>
  <c r="H126" i="1"/>
  <c r="H125" i="1"/>
  <c r="H124" i="1"/>
  <c r="H123" i="1"/>
  <c r="G123" i="1" a="1"/>
  <c r="G123" i="1" s="1"/>
  <c r="N121" i="1"/>
  <c r="N120" i="1"/>
  <c r="N119" i="1"/>
  <c r="N118" i="1"/>
  <c r="N117" i="1"/>
  <c r="N116" i="1"/>
  <c r="N115" i="1"/>
  <c r="N114" i="1"/>
  <c r="N113" i="1"/>
  <c r="N112" i="1"/>
  <c r="M112" i="1" a="1"/>
  <c r="M112" i="1" s="1"/>
  <c r="H121" i="1"/>
  <c r="H120" i="1"/>
  <c r="H119" i="1"/>
  <c r="H118" i="1"/>
  <c r="H117" i="1"/>
  <c r="H116" i="1"/>
  <c r="H115" i="1"/>
  <c r="H114" i="1"/>
  <c r="H113" i="1"/>
  <c r="H112" i="1"/>
  <c r="G112" i="1" a="1"/>
  <c r="G112" i="1" s="1"/>
  <c r="S96" i="1"/>
  <c r="S95" i="1"/>
  <c r="S94" i="1"/>
  <c r="S93" i="1"/>
  <c r="S92" i="1"/>
  <c r="S91" i="1"/>
  <c r="S90" i="1"/>
  <c r="S89" i="1"/>
  <c r="S88" i="1"/>
  <c r="S87" i="1"/>
  <c r="R87" i="1" a="1"/>
  <c r="R87" i="1" s="1"/>
  <c r="N108" i="1"/>
  <c r="N107" i="1"/>
  <c r="N106" i="1"/>
  <c r="N105" i="1"/>
  <c r="N104" i="1"/>
  <c r="N103" i="1"/>
  <c r="N102" i="1"/>
  <c r="N101" i="1"/>
  <c r="N100" i="1"/>
  <c r="N99" i="1"/>
  <c r="M99" i="1" a="1"/>
  <c r="M99" i="1" s="1"/>
  <c r="H108" i="1"/>
  <c r="H107" i="1"/>
  <c r="H106" i="1"/>
  <c r="H105" i="1"/>
  <c r="H104" i="1"/>
  <c r="H103" i="1"/>
  <c r="H102" i="1"/>
  <c r="H101" i="1"/>
  <c r="H100" i="1"/>
  <c r="H99" i="1"/>
  <c r="G99" i="1" a="1"/>
  <c r="G99" i="1" s="1"/>
  <c r="N96" i="1"/>
  <c r="N95" i="1"/>
  <c r="N94" i="1"/>
  <c r="N93" i="1"/>
  <c r="N92" i="1"/>
  <c r="N91" i="1"/>
  <c r="N90" i="1"/>
  <c r="N89" i="1"/>
  <c r="N88" i="1"/>
  <c r="N87" i="1"/>
  <c r="M87" i="1" a="1"/>
  <c r="M87" i="1" s="1"/>
  <c r="H96" i="1"/>
  <c r="H95" i="1"/>
  <c r="H94" i="1"/>
  <c r="H93" i="1"/>
  <c r="H92" i="1"/>
  <c r="H91" i="1"/>
  <c r="H90" i="1"/>
  <c r="H89" i="1"/>
  <c r="H88" i="1"/>
  <c r="H87" i="1"/>
  <c r="G87" i="1" a="1"/>
  <c r="G87" i="1" s="1"/>
  <c r="S71" i="1"/>
  <c r="S70" i="1"/>
  <c r="S69" i="1"/>
  <c r="S68" i="1"/>
  <c r="S67" i="1"/>
  <c r="S66" i="1"/>
  <c r="S65" i="1"/>
  <c r="S64" i="1"/>
  <c r="S63" i="1"/>
  <c r="S62" i="1"/>
  <c r="R62" i="1" a="1"/>
  <c r="R62" i="1" s="1"/>
  <c r="N84" i="1"/>
  <c r="N83" i="1"/>
  <c r="N82" i="1"/>
  <c r="N81" i="1"/>
  <c r="N80" i="1"/>
  <c r="N79" i="1"/>
  <c r="N78" i="1"/>
  <c r="N77" i="1"/>
  <c r="N76" i="1"/>
  <c r="N75" i="1"/>
  <c r="M75" i="1" a="1"/>
  <c r="M75" i="1" s="1"/>
  <c r="H84" i="1"/>
  <c r="H83" i="1"/>
  <c r="H82" i="1"/>
  <c r="H81" i="1"/>
  <c r="H80" i="1"/>
  <c r="H79" i="1"/>
  <c r="H78" i="1"/>
  <c r="H77" i="1"/>
  <c r="H76" i="1"/>
  <c r="H75" i="1"/>
  <c r="G75" i="1" a="1"/>
  <c r="G75" i="1" s="1"/>
  <c r="N71" i="1"/>
  <c r="N70" i="1"/>
  <c r="N69" i="1"/>
  <c r="N68" i="1"/>
  <c r="N67" i="1"/>
  <c r="N66" i="1"/>
  <c r="N65" i="1"/>
  <c r="N64" i="1"/>
  <c r="N63" i="1"/>
  <c r="N62" i="1"/>
  <c r="M62" i="1" a="1"/>
  <c r="M62" i="1" s="1"/>
  <c r="H71" i="1"/>
  <c r="H70" i="1"/>
  <c r="H69" i="1"/>
  <c r="H68" i="1"/>
  <c r="H67" i="1"/>
  <c r="H66" i="1"/>
  <c r="H65" i="1"/>
  <c r="H64" i="1"/>
  <c r="H63" i="1"/>
  <c r="H62" i="1"/>
  <c r="G62" i="1" a="1"/>
  <c r="G62" i="1" s="1"/>
  <c r="S45" i="1"/>
  <c r="S44" i="1"/>
  <c r="S43" i="1"/>
  <c r="S42" i="1"/>
  <c r="S41" i="1"/>
  <c r="S40" i="1"/>
  <c r="S39" i="1"/>
  <c r="S38" i="1"/>
  <c r="S37" i="1"/>
  <c r="S36" i="1"/>
  <c r="R36" i="1" a="1"/>
  <c r="R36" i="1" s="1"/>
  <c r="N57" i="1"/>
  <c r="N56" i="1"/>
  <c r="N55" i="1"/>
  <c r="N54" i="1"/>
  <c r="N53" i="1"/>
  <c r="N52" i="1"/>
  <c r="N51" i="1"/>
  <c r="N50" i="1"/>
  <c r="N49" i="1"/>
  <c r="N48" i="1"/>
  <c r="M48" i="1" a="1"/>
  <c r="M48" i="1" s="1"/>
  <c r="H57" i="1"/>
  <c r="H56" i="1"/>
  <c r="H55" i="1"/>
  <c r="H54" i="1"/>
  <c r="H53" i="1"/>
  <c r="H52" i="1"/>
  <c r="H51" i="1"/>
  <c r="H50" i="1"/>
  <c r="H49" i="1"/>
  <c r="H48" i="1"/>
  <c r="G48" i="1" a="1"/>
  <c r="G48" i="1" s="1"/>
  <c r="N45" i="1"/>
  <c r="N44" i="1"/>
  <c r="N43" i="1"/>
  <c r="N42" i="1"/>
  <c r="N41" i="1"/>
  <c r="N40" i="1"/>
  <c r="N39" i="1"/>
  <c r="N38" i="1"/>
  <c r="N37" i="1"/>
  <c r="N36" i="1"/>
  <c r="M36" i="1" a="1"/>
  <c r="M36" i="1" s="1"/>
  <c r="H44" i="1"/>
  <c r="H43" i="1"/>
  <c r="H42" i="1"/>
  <c r="H41" i="1"/>
  <c r="H40" i="1"/>
  <c r="H39" i="1"/>
  <c r="H38" i="1"/>
  <c r="H37" i="1"/>
  <c r="H36" i="1"/>
  <c r="H35" i="1"/>
  <c r="G35" i="1" a="1"/>
  <c r="G35" i="1" s="1"/>
  <c r="S22" i="1"/>
  <c r="S21" i="1"/>
  <c r="S20" i="1"/>
  <c r="S19" i="1"/>
  <c r="S18" i="1"/>
  <c r="S17" i="1"/>
  <c r="S16" i="1"/>
  <c r="S15" i="1"/>
  <c r="S14" i="1"/>
  <c r="S13" i="1"/>
  <c r="R13" i="1" a="1"/>
  <c r="R13" i="1" s="1"/>
  <c r="N34" i="1"/>
  <c r="N33" i="1"/>
  <c r="N32" i="1"/>
  <c r="N31" i="1"/>
  <c r="N30" i="1"/>
  <c r="N29" i="1"/>
  <c r="N28" i="1"/>
  <c r="N27" i="1"/>
  <c r="N26" i="1"/>
  <c r="N25" i="1"/>
  <c r="M25" i="1" a="1"/>
  <c r="M25" i="1" s="1"/>
  <c r="N22" i="1"/>
  <c r="N21" i="1"/>
  <c r="N20" i="1"/>
  <c r="N19" i="1"/>
  <c r="N18" i="1"/>
  <c r="N17" i="1"/>
  <c r="N16" i="1"/>
  <c r="N15" i="1"/>
  <c r="N14" i="1"/>
  <c r="N13" i="1"/>
  <c r="M13" i="1" a="1"/>
  <c r="M13" i="1" s="1"/>
  <c r="H33" i="1"/>
  <c r="H32" i="1"/>
  <c r="H31" i="1"/>
  <c r="H30" i="1"/>
  <c r="H29" i="1"/>
  <c r="H28" i="1"/>
  <c r="H27" i="1"/>
  <c r="H26" i="1"/>
  <c r="H25" i="1"/>
  <c r="H24" i="1"/>
  <c r="G24" i="1" a="1"/>
  <c r="G24" i="1" s="1"/>
  <c r="H22" i="1"/>
  <c r="H21" i="1"/>
  <c r="H20" i="1"/>
  <c r="H19" i="1"/>
  <c r="H18" i="1"/>
  <c r="H17" i="1"/>
  <c r="H16" i="1"/>
  <c r="H15" i="1"/>
  <c r="H14" i="1"/>
  <c r="H13" i="1"/>
  <c r="G13" i="1" a="1"/>
  <c r="G1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<sst xmlns="http://schemas.openxmlformats.org/spreadsheetml/2006/main" count="90" uniqueCount="80">
  <si>
    <t>ID</t>
  </si>
  <si>
    <t>Employee Name</t>
  </si>
  <si>
    <t>Employee Code</t>
  </si>
  <si>
    <t>City</t>
  </si>
  <si>
    <t>Email</t>
  </si>
  <si>
    <t>Mobile</t>
  </si>
  <si>
    <t>Aman Sharma</t>
  </si>
  <si>
    <t>EMP-4589</t>
  </si>
  <si>
    <t>Delhi</t>
  </si>
  <si>
    <t>aman.sharma@gmail.com</t>
  </si>
  <si>
    <t>Priya Verma</t>
  </si>
  <si>
    <t>HR-7845</t>
  </si>
  <si>
    <t>Jaipur</t>
  </si>
  <si>
    <t>priya.verma@yahoo.com</t>
  </si>
  <si>
    <t>Rohit Singh</t>
  </si>
  <si>
    <t>IT-9621</t>
  </si>
  <si>
    <t>Mumbai</t>
  </si>
  <si>
    <t>rohit.singh@company.in</t>
  </si>
  <si>
    <t>Neha Gupta</t>
  </si>
  <si>
    <t>FIN-3108</t>
  </si>
  <si>
    <t>Lucknow</t>
  </si>
  <si>
    <t>neha.gupta@office.com</t>
  </si>
  <si>
    <t>Karan Mehta</t>
  </si>
  <si>
    <t>ADM-5427</t>
  </si>
  <si>
    <t>Chandigarh</t>
  </si>
  <si>
    <t>karan.mehta@gmail.com</t>
  </si>
  <si>
    <t>Simran Kaur</t>
  </si>
  <si>
    <t>MKT-8754</t>
  </si>
  <si>
    <t>Amritsar</t>
  </si>
  <si>
    <t>simran.kaur@abc.com</t>
  </si>
  <si>
    <t>Mohit Arora</t>
  </si>
  <si>
    <t>ENG-1432</t>
  </si>
  <si>
    <t>Noida</t>
  </si>
  <si>
    <t>mohit.arora@xyz.in</t>
  </si>
  <si>
    <t>Anjali Yadav</t>
  </si>
  <si>
    <t>ACC-6651</t>
  </si>
  <si>
    <t>Panipat</t>
  </si>
  <si>
    <t>anjali.yadav@test.com</t>
  </si>
  <si>
    <t>Deepak Kumar</t>
  </si>
  <si>
    <t>DEV-4597</t>
  </si>
  <si>
    <t>Gurugram</t>
  </si>
  <si>
    <t>deepak.kumar@tech.in</t>
  </si>
  <si>
    <t>Riya Kapoor</t>
  </si>
  <si>
    <t>QA-7015</t>
  </si>
  <si>
    <t>Faridabad</t>
  </si>
  <si>
    <t>riya.kapoor@mail.com</t>
  </si>
  <si>
    <t>question</t>
  </si>
  <si>
    <t>of</t>
  </si>
  <si>
    <t>function</t>
  </si>
  <si>
    <t>LEFT</t>
  </si>
  <si>
    <t>Function</t>
  </si>
  <si>
    <r>
      <t xml:space="preserve">mployee Code के पहले </t>
    </r>
    <r>
      <rPr>
        <b/>
        <sz val="11"/>
        <color theme="1"/>
        <rFont val="Aptos Narrow"/>
        <family val="2"/>
        <scheme val="minor"/>
      </rPr>
      <t>3 Characters</t>
    </r>
    <r>
      <rPr>
        <sz val="11"/>
        <color theme="1"/>
        <rFont val="Aptos Narrow"/>
        <family val="2"/>
        <scheme val="minor"/>
      </rPr>
      <t xml:space="preserve"> निकालो।</t>
    </r>
  </si>
  <si>
    <r>
      <t xml:space="preserve">City के पहले </t>
    </r>
    <r>
      <rPr>
        <b/>
        <sz val="11"/>
        <color theme="1"/>
        <rFont val="Aptos Narrow"/>
        <family val="2"/>
        <scheme val="minor"/>
      </rPr>
      <t>2 Letters</t>
    </r>
    <r>
      <rPr>
        <sz val="11"/>
        <color theme="1"/>
        <rFont val="Aptos Narrow"/>
        <family val="2"/>
        <scheme val="minor"/>
      </rPr>
      <t xml:space="preserve"> निकालो।</t>
    </r>
  </si>
  <si>
    <r>
      <t xml:space="preserve">Employee Name का पहला </t>
    </r>
    <r>
      <rPr>
        <b/>
        <sz val="11"/>
        <color theme="1"/>
        <rFont val="Aptos Narrow"/>
        <family val="2"/>
        <scheme val="minor"/>
      </rPr>
      <t>1 Character</t>
    </r>
    <r>
      <rPr>
        <sz val="11"/>
        <color theme="1"/>
        <rFont val="Aptos Narrow"/>
        <family val="2"/>
        <scheme val="minor"/>
      </rPr>
      <t xml:space="preserve"> निकालो।</t>
    </r>
  </si>
  <si>
    <r>
      <t xml:space="preserve">Email के पहले </t>
    </r>
    <r>
      <rPr>
        <b/>
        <sz val="11"/>
        <color theme="1"/>
        <rFont val="Aptos Narrow"/>
        <family val="2"/>
        <scheme val="minor"/>
      </rPr>
      <t>5 Characters</t>
    </r>
    <r>
      <rPr>
        <sz val="11"/>
        <color theme="1"/>
        <rFont val="Aptos Narrow"/>
        <family val="2"/>
        <scheme val="minor"/>
      </rPr>
      <t xml:space="preserve"> निकालो।</t>
    </r>
  </si>
  <si>
    <r>
      <t xml:space="preserve">Mobile Number के पहले </t>
    </r>
    <r>
      <rPr>
        <b/>
        <sz val="11"/>
        <color theme="1"/>
        <rFont val="Aptos Narrow"/>
        <family val="2"/>
        <scheme val="minor"/>
      </rPr>
      <t>4 Digits</t>
    </r>
    <r>
      <rPr>
        <sz val="11"/>
        <color theme="1"/>
        <rFont val="Aptos Narrow"/>
        <family val="2"/>
        <scheme val="minor"/>
      </rPr>
      <t xml:space="preserve"> निकालो।</t>
    </r>
  </si>
  <si>
    <t xml:space="preserve">Right </t>
  </si>
  <si>
    <r>
      <t xml:space="preserve">Employee Code के आखिरी </t>
    </r>
    <r>
      <rPr>
        <b/>
        <sz val="11"/>
        <color theme="1"/>
        <rFont val="Aptos Narrow"/>
        <family val="2"/>
        <scheme val="minor"/>
      </rPr>
      <t>2 Characters</t>
    </r>
    <r>
      <rPr>
        <sz val="11"/>
        <color theme="1"/>
        <rFont val="Aptos Narrow"/>
        <family val="2"/>
        <scheme val="minor"/>
      </rPr>
      <t xml:space="preserve"> निकालो।</t>
    </r>
  </si>
  <si>
    <r>
      <t xml:space="preserve">City के आखिरी </t>
    </r>
    <r>
      <rPr>
        <b/>
        <sz val="11"/>
        <color theme="1"/>
        <rFont val="Aptos Narrow"/>
        <family val="2"/>
        <scheme val="minor"/>
      </rPr>
      <t>3 Letters</t>
    </r>
    <r>
      <rPr>
        <sz val="11"/>
        <color theme="1"/>
        <rFont val="Aptos Narrow"/>
        <family val="2"/>
        <scheme val="minor"/>
      </rPr>
      <t xml:space="preserve"> निकालो।</t>
    </r>
  </si>
  <si>
    <r>
      <t xml:space="preserve">Email के आखिरी </t>
    </r>
    <r>
      <rPr>
        <b/>
        <sz val="11"/>
        <color theme="1"/>
        <rFont val="Aptos Narrow"/>
        <family val="2"/>
        <scheme val="minor"/>
      </rPr>
      <t>4 Characters</t>
    </r>
    <r>
      <rPr>
        <sz val="11"/>
        <color theme="1"/>
        <rFont val="Aptos Narrow"/>
        <family val="2"/>
        <scheme val="minor"/>
      </rPr>
      <t xml:space="preserve"> निकालो।</t>
    </r>
  </si>
  <si>
    <r>
      <t xml:space="preserve">Mobile Number के आखिरी </t>
    </r>
    <r>
      <rPr>
        <b/>
        <sz val="11"/>
        <color theme="1"/>
        <rFont val="Aptos Narrow"/>
        <family val="2"/>
        <scheme val="minor"/>
      </rPr>
      <t>5 Digits</t>
    </r>
    <r>
      <rPr>
        <sz val="11"/>
        <color theme="1"/>
        <rFont val="Aptos Narrow"/>
        <family val="2"/>
        <scheme val="minor"/>
      </rPr>
      <t xml:space="preserve"> निकालो।</t>
    </r>
  </si>
  <si>
    <r>
      <t xml:space="preserve">Employee Name के आखिरी </t>
    </r>
    <r>
      <rPr>
        <b/>
        <sz val="11"/>
        <color theme="1"/>
        <rFont val="Aptos Narrow"/>
        <family val="2"/>
        <scheme val="minor"/>
      </rPr>
      <t>4 Characters</t>
    </r>
    <r>
      <rPr>
        <sz val="11"/>
        <color theme="1"/>
        <rFont val="Aptos Narrow"/>
        <family val="2"/>
        <scheme val="minor"/>
      </rPr>
      <t xml:space="preserve"> निकालो।</t>
    </r>
  </si>
  <si>
    <t>MID</t>
  </si>
  <si>
    <r>
      <t xml:space="preserve">Employee Code में </t>
    </r>
    <r>
      <rPr>
        <b/>
        <sz val="11"/>
        <color theme="1"/>
        <rFont val="Aptos Narrow"/>
        <family val="2"/>
        <scheme val="minor"/>
      </rPr>
      <t>4th Character से 3 Characters</t>
    </r>
    <r>
      <rPr>
        <sz val="11"/>
        <color theme="1"/>
        <rFont val="Aptos Narrow"/>
        <family val="2"/>
        <scheme val="minor"/>
      </rPr>
      <t xml:space="preserve"> निकालो।</t>
    </r>
  </si>
  <si>
    <r>
      <t xml:space="preserve">Employee Name में </t>
    </r>
    <r>
      <rPr>
        <b/>
        <sz val="11"/>
        <color theme="1"/>
        <rFont val="Aptos Narrow"/>
        <family val="2"/>
        <scheme val="minor"/>
      </rPr>
      <t>3rd Character से 5 Characters</t>
    </r>
    <r>
      <rPr>
        <sz val="11"/>
        <color theme="1"/>
        <rFont val="Aptos Narrow"/>
        <family val="2"/>
        <scheme val="minor"/>
      </rPr>
      <t xml:space="preserve"> निकालो।</t>
    </r>
  </si>
  <si>
    <r>
      <t xml:space="preserve">Email में </t>
    </r>
    <r>
      <rPr>
        <b/>
        <sz val="11"/>
        <color theme="1"/>
        <rFont val="Aptos Narrow"/>
        <family val="2"/>
        <scheme val="minor"/>
      </rPr>
      <t>6th Character से 4 Characters</t>
    </r>
    <r>
      <rPr>
        <sz val="11"/>
        <color theme="1"/>
        <rFont val="Aptos Narrow"/>
        <family val="2"/>
        <scheme val="minor"/>
      </rPr>
      <t xml:space="preserve"> निकालो।</t>
    </r>
  </si>
  <si>
    <r>
      <t xml:space="preserve">City में </t>
    </r>
    <r>
      <rPr>
        <b/>
        <sz val="11"/>
        <color theme="1"/>
        <rFont val="Aptos Narrow"/>
        <family val="2"/>
        <scheme val="minor"/>
      </rPr>
      <t>2nd Character से 3 Characters</t>
    </r>
    <r>
      <rPr>
        <sz val="11"/>
        <color theme="1"/>
        <rFont val="Aptos Narrow"/>
        <family val="2"/>
        <scheme val="minor"/>
      </rPr>
      <t xml:space="preserve"> निकालो।</t>
    </r>
  </si>
  <si>
    <r>
      <t xml:space="preserve">Mobile Number में </t>
    </r>
    <r>
      <rPr>
        <b/>
        <sz val="11"/>
        <color theme="1"/>
        <rFont val="Aptos Narrow"/>
        <family val="2"/>
        <scheme val="minor"/>
      </rPr>
      <t>5th Digit से 3 Digits</t>
    </r>
    <r>
      <rPr>
        <sz val="11"/>
        <color theme="1"/>
        <rFont val="Aptos Narrow"/>
        <family val="2"/>
        <scheme val="minor"/>
      </rPr>
      <t xml:space="preserve"> निकालो।</t>
    </r>
  </si>
  <si>
    <t>OF</t>
  </si>
  <si>
    <t>LEN</t>
  </si>
  <si>
    <t>Employee Name में कुल कितने Characters हैं?</t>
  </si>
  <si>
    <t>Employee code ki len</t>
  </si>
  <si>
    <t>Email Address ki length kitni hia</t>
  </si>
  <si>
    <t>city name ma kitni len hia</t>
  </si>
  <si>
    <t>Mobile numberki kitni Length hai</t>
  </si>
  <si>
    <t xml:space="preserve">Replace </t>
  </si>
  <si>
    <r>
      <t xml:space="preserve">Employee Code में पहले </t>
    </r>
    <r>
      <rPr>
        <b/>
        <sz val="11"/>
        <color theme="1"/>
        <rFont val="Aptos Narrow"/>
        <family val="2"/>
        <scheme val="minor"/>
      </rPr>
      <t>3 Characters</t>
    </r>
    <r>
      <rPr>
        <sz val="11"/>
        <color theme="1"/>
        <rFont val="Aptos Narrow"/>
        <family val="2"/>
        <scheme val="minor"/>
      </rPr>
      <t xml:space="preserve"> को </t>
    </r>
    <r>
      <rPr>
        <sz val="10"/>
        <color theme="1"/>
        <rFont val="Arial Unicode MS"/>
      </rPr>
      <t>"STA"</t>
    </r>
    <r>
      <rPr>
        <sz val="11"/>
        <color theme="1"/>
        <rFont val="Aptos Narrow"/>
        <family val="2"/>
        <scheme val="minor"/>
      </rPr>
      <t xml:space="preserve"> से Replace करो।</t>
    </r>
  </si>
  <si>
    <r>
      <t xml:space="preserve">. City में पहले 2 Characters को </t>
    </r>
    <r>
      <rPr>
        <sz val="10"/>
        <color theme="1"/>
        <rFont val="Arial Unicode MS"/>
      </rPr>
      <t>"XX"</t>
    </r>
    <r>
      <rPr>
        <sz val="11"/>
        <color theme="1"/>
        <rFont val="Aptos Narrow"/>
        <family val="2"/>
        <scheme val="minor"/>
      </rPr>
      <t xml:space="preserve"> से Replace करो</t>
    </r>
  </si>
  <si>
    <r>
      <t xml:space="preserve">Email में </t>
    </r>
    <r>
      <rPr>
        <sz val="10"/>
        <color theme="1"/>
        <rFont val="Arial Unicode MS"/>
      </rPr>
      <t>"gmail"</t>
    </r>
    <r>
      <rPr>
        <sz val="11"/>
        <color theme="1"/>
        <rFont val="Aptos Narrow"/>
        <family val="2"/>
        <scheme val="minor"/>
      </rPr>
      <t xml:space="preserve"> की जगह </t>
    </r>
    <r>
      <rPr>
        <sz val="10"/>
        <color theme="1"/>
        <rFont val="Arial Unicode MS"/>
      </rPr>
      <t>"office"</t>
    </r>
    <r>
      <rPr>
        <sz val="11"/>
        <color theme="1"/>
        <rFont val="Aptos Narrow"/>
        <family val="2"/>
        <scheme val="minor"/>
      </rPr>
      <t xml:space="preserve"> लाने के लिए Position का उपयोग करके Replace करो</t>
    </r>
  </si>
  <si>
    <r>
      <t xml:space="preserve">Mobile Number के बीच के 4 Digits को </t>
    </r>
    <r>
      <rPr>
        <sz val="10"/>
        <color theme="1"/>
        <rFont val="Arial Unicode MS"/>
      </rPr>
      <t>"****"</t>
    </r>
    <r>
      <rPr>
        <sz val="11"/>
        <color theme="1"/>
        <rFont val="Aptos Narrow"/>
        <family val="2"/>
        <scheme val="minor"/>
      </rPr>
      <t xml:space="preserve"> से Replace करो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</si>
</sst>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jali.yadav@test.com" TargetMode="External"/><Relationship Id="rId3" Type="http://schemas.openxmlformats.org/officeDocument/2006/relationships/hyperlink" Target="mailto:rohit.singh@company.in" TargetMode="External"/><Relationship Id="rId7" Type="http://schemas.openxmlformats.org/officeDocument/2006/relationships/hyperlink" Target="mailto:mohit.arora@xyz.in" TargetMode="External"/><Relationship Id="rId2" Type="http://schemas.openxmlformats.org/officeDocument/2006/relationships/hyperlink" Target="mailto:priya.verma@yahoo.com" TargetMode="External"/><Relationship Id="rId1" Type="http://schemas.openxmlformats.org/officeDocument/2006/relationships/hyperlink" Target="mailto:aman.sharma@gmail.com" TargetMode="External"/><Relationship Id="rId6" Type="http://schemas.openxmlformats.org/officeDocument/2006/relationships/hyperlink" Target="mailto:simran.kaur@abc.com" TargetMode="External"/><Relationship Id="rId5" Type="http://schemas.openxmlformats.org/officeDocument/2006/relationships/hyperlink" Target="mailto:karan.mehta@gmail.com" TargetMode="External"/><Relationship Id="rId10" Type="http://schemas.openxmlformats.org/officeDocument/2006/relationships/hyperlink" Target="mailto:riya.kapoor@mail.com" TargetMode="External"/><Relationship Id="rId4" Type="http://schemas.openxmlformats.org/officeDocument/2006/relationships/hyperlink" Target="mailto:neha.gupta@office.com" TargetMode="External"/><Relationship Id="rId9" Type="http://schemas.openxmlformats.org/officeDocument/2006/relationships/hyperlink" Target="mailto:deepak.kumar@tech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2369-D575-4421-8BC7-0F0CB79CD46B}">
  <dimension ref="A1:S132"/>
  <sheetViews>
    <sheetView tabSelected="1" topLeftCell="K107" workbookViewId="0">
      <selection activeCell="N123" sqref="N123:N132"/>
    </sheetView>
  </sheetViews>
  <sheetFormatPr defaultRowHeight="14.4"/>
  <cols>
    <col min="2" max="2" width="23.77734375" customWidth="1"/>
    <col min="3" max="3" width="22.21875" customWidth="1"/>
    <col min="4" max="4" width="24.77734375" customWidth="1"/>
    <col min="5" max="5" width="22.5546875" customWidth="1"/>
    <col min="6" max="6" width="72.109375" customWidth="1"/>
    <col min="7" max="7" width="26.21875" customWidth="1"/>
    <col min="8" max="8" width="22.77734375" customWidth="1"/>
    <col min="11" max="11" width="9.33203125" customWidth="1"/>
    <col min="12" max="12" width="47.109375" customWidth="1"/>
    <col min="13" max="13" width="22.33203125" customWidth="1"/>
    <col min="17" max="17" width="42.77734375" customWidth="1"/>
    <col min="18" max="18" width="14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9" ht="28.8">
      <c r="A2" s="2">
        <v>101</v>
      </c>
      <c r="B2" s="2" t="s">
        <v>6</v>
      </c>
      <c r="C2" s="2" t="s">
        <v>7</v>
      </c>
      <c r="D2" s="2" t="s">
        <v>8</v>
      </c>
      <c r="E2" s="3" t="s">
        <v>9</v>
      </c>
      <c r="F2" s="2">
        <v>9876543210</v>
      </c>
    </row>
    <row r="3" spans="1:19">
      <c r="A3" s="2">
        <v>102</v>
      </c>
      <c r="B3" s="2" t="s">
        <v>10</v>
      </c>
      <c r="C3" s="2" t="s">
        <v>11</v>
      </c>
      <c r="D3" s="2" t="s">
        <v>12</v>
      </c>
      <c r="E3" s="3" t="s">
        <v>13</v>
      </c>
      <c r="F3" s="2">
        <v>9123456789</v>
      </c>
    </row>
    <row r="4" spans="1:19">
      <c r="A4" s="2">
        <v>103</v>
      </c>
      <c r="B4" s="2" t="s">
        <v>14</v>
      </c>
      <c r="C4" s="2" t="s">
        <v>15</v>
      </c>
      <c r="D4" s="2" t="s">
        <v>16</v>
      </c>
      <c r="E4" s="3" t="s">
        <v>17</v>
      </c>
      <c r="F4" s="2">
        <v>9988776655</v>
      </c>
    </row>
    <row r="5" spans="1:19">
      <c r="A5" s="2">
        <v>104</v>
      </c>
      <c r="B5" s="2" t="s">
        <v>18</v>
      </c>
      <c r="C5" s="2" t="s">
        <v>19</v>
      </c>
      <c r="D5" s="2" t="s">
        <v>20</v>
      </c>
      <c r="E5" s="3" t="s">
        <v>21</v>
      </c>
      <c r="F5" s="2">
        <v>9871234567</v>
      </c>
    </row>
    <row r="6" spans="1:19">
      <c r="A6" s="2">
        <v>105</v>
      </c>
      <c r="B6" s="2" t="s">
        <v>22</v>
      </c>
      <c r="C6" s="2" t="s">
        <v>23</v>
      </c>
      <c r="D6" s="2" t="s">
        <v>24</v>
      </c>
      <c r="E6" s="3" t="s">
        <v>25</v>
      </c>
      <c r="F6" s="2">
        <v>9012345678</v>
      </c>
    </row>
    <row r="7" spans="1:19">
      <c r="A7" s="2">
        <v>106</v>
      </c>
      <c r="B7" s="2" t="s">
        <v>26</v>
      </c>
      <c r="C7" s="2" t="s">
        <v>27</v>
      </c>
      <c r="D7" s="2" t="s">
        <v>28</v>
      </c>
      <c r="E7" s="3" t="s">
        <v>29</v>
      </c>
      <c r="F7" s="2">
        <v>9898989898</v>
      </c>
    </row>
    <row r="8" spans="1:19">
      <c r="A8" s="2">
        <v>107</v>
      </c>
      <c r="B8" s="2" t="s">
        <v>30</v>
      </c>
      <c r="C8" s="2" t="s">
        <v>31</v>
      </c>
      <c r="D8" s="2" t="s">
        <v>32</v>
      </c>
      <c r="E8" s="3" t="s">
        <v>33</v>
      </c>
      <c r="F8" s="2">
        <v>9090909090</v>
      </c>
    </row>
    <row r="9" spans="1:19">
      <c r="A9" s="2">
        <v>108</v>
      </c>
      <c r="B9" s="2" t="s">
        <v>34</v>
      </c>
      <c r="C9" s="2" t="s">
        <v>35</v>
      </c>
      <c r="D9" s="2" t="s">
        <v>36</v>
      </c>
      <c r="E9" s="3" t="s">
        <v>37</v>
      </c>
      <c r="F9" s="2">
        <v>9870001112</v>
      </c>
    </row>
    <row r="10" spans="1:19">
      <c r="A10" s="2">
        <v>109</v>
      </c>
      <c r="B10" s="2" t="s">
        <v>38</v>
      </c>
      <c r="C10" s="2" t="s">
        <v>39</v>
      </c>
      <c r="D10" s="2" t="s">
        <v>40</v>
      </c>
      <c r="E10" s="3" t="s">
        <v>41</v>
      </c>
      <c r="F10" s="2">
        <v>8888777766</v>
      </c>
    </row>
    <row r="11" spans="1:19">
      <c r="A11" s="2">
        <v>110</v>
      </c>
      <c r="B11" s="2" t="s">
        <v>42</v>
      </c>
      <c r="C11" s="2" t="s">
        <v>43</v>
      </c>
      <c r="D11" s="2" t="s">
        <v>44</v>
      </c>
      <c r="E11" s="3" t="s">
        <v>45</v>
      </c>
      <c r="F11" s="2">
        <v>9000011111</v>
      </c>
    </row>
    <row r="13" spans="1:19">
      <c r="A13" t="s">
        <v>46</v>
      </c>
      <c r="B13" s="2" t="s">
        <v>47</v>
      </c>
      <c r="C13" s="2" t="s">
        <v>49</v>
      </c>
      <c r="D13" s="2" t="s">
        <v>50</v>
      </c>
      <c r="E13">
        <v>1</v>
      </c>
      <c r="F13" t="s">
        <v>51</v>
      </c>
      <c r="G13" t="str" cm="1">
        <f t="array" ref="G13:G22">Employee_Code</f>
        <v>EMP-4589</v>
      </c>
      <c r="H13" t="str">
        <f>LEFT(G13,3)</f>
        <v>EMP</v>
      </c>
      <c r="K13">
        <v>3</v>
      </c>
      <c r="L13" t="s">
        <v>53</v>
      </c>
      <c r="M13" t="str" cm="1">
        <f t="array" ref="M13:M22">Name</f>
        <v>Aman Sharma</v>
      </c>
      <c r="N13" t="str">
        <f>LEFT(M13,1)</f>
        <v>A</v>
      </c>
      <c r="P13">
        <v>5</v>
      </c>
      <c r="Q13" t="s">
        <v>55</v>
      </c>
      <c r="R13" cm="1">
        <f t="array" ref="R13:R22">Mobile</f>
        <v>9876543210</v>
      </c>
      <c r="S13" t="str">
        <f>LEFT(R13,4)</f>
        <v>9876</v>
      </c>
    </row>
    <row r="14" spans="1:19">
      <c r="G14" t="str">
        <v>HR-7845</v>
      </c>
      <c r="H14" t="str">
        <f t="shared" ref="H14:H22" si="0">LEFT(G14,3)</f>
        <v>HR-</v>
      </c>
      <c r="M14" t="str">
        <v>Priya Verma</v>
      </c>
      <c r="N14" t="str">
        <f t="shared" ref="N14:N22" si="1">LEFT(M14,1)</f>
        <v>P</v>
      </c>
      <c r="R14">
        <v>9123456789</v>
      </c>
      <c r="S14" t="str">
        <f t="shared" ref="S14:S22" si="2">LEFT(R14,4)</f>
        <v>9123</v>
      </c>
    </row>
    <row r="15" spans="1:19">
      <c r="G15" t="str">
        <v>IT-9621</v>
      </c>
      <c r="H15" t="str">
        <f t="shared" si="0"/>
        <v>IT-</v>
      </c>
      <c r="M15" t="str">
        <v>Rohit Singh</v>
      </c>
      <c r="N15" t="str">
        <f t="shared" si="1"/>
        <v>R</v>
      </c>
      <c r="R15">
        <v>9988776655</v>
      </c>
      <c r="S15" t="str">
        <f t="shared" si="2"/>
        <v>9988</v>
      </c>
    </row>
    <row r="16" spans="1:19">
      <c r="G16" t="str">
        <v>FIN-3108</v>
      </c>
      <c r="H16" t="str">
        <f t="shared" si="0"/>
        <v>FIN</v>
      </c>
      <c r="M16" t="str">
        <v>Neha Gupta</v>
      </c>
      <c r="N16" t="str">
        <f t="shared" si="1"/>
        <v>N</v>
      </c>
      <c r="R16">
        <v>9871234567</v>
      </c>
      <c r="S16" t="str">
        <f t="shared" si="2"/>
        <v>9871</v>
      </c>
    </row>
    <row r="17" spans="5:19">
      <c r="G17" t="str">
        <v>ADM-5427</v>
      </c>
      <c r="H17" t="str">
        <f t="shared" si="0"/>
        <v>ADM</v>
      </c>
      <c r="M17" t="str">
        <v>Karan Mehta</v>
      </c>
      <c r="N17" t="str">
        <f t="shared" si="1"/>
        <v>K</v>
      </c>
      <c r="R17">
        <v>9012345678</v>
      </c>
      <c r="S17" t="str">
        <f t="shared" si="2"/>
        <v>9012</v>
      </c>
    </row>
    <row r="18" spans="5:19">
      <c r="G18" t="str">
        <v>MKT-8754</v>
      </c>
      <c r="H18" t="str">
        <f t="shared" si="0"/>
        <v>MKT</v>
      </c>
      <c r="M18" t="str">
        <v>Simran Kaur</v>
      </c>
      <c r="N18" t="str">
        <f t="shared" si="1"/>
        <v>S</v>
      </c>
      <c r="R18">
        <v>9898989898</v>
      </c>
      <c r="S18" t="str">
        <f t="shared" si="2"/>
        <v>9898</v>
      </c>
    </row>
    <row r="19" spans="5:19">
      <c r="G19" t="str">
        <v>ENG-1432</v>
      </c>
      <c r="H19" t="str">
        <f t="shared" si="0"/>
        <v>ENG</v>
      </c>
      <c r="M19" t="str">
        <v>Mohit Arora</v>
      </c>
      <c r="N19" t="str">
        <f t="shared" si="1"/>
        <v>M</v>
      </c>
      <c r="R19">
        <v>9090909090</v>
      </c>
      <c r="S19" t="str">
        <f t="shared" si="2"/>
        <v>9090</v>
      </c>
    </row>
    <row r="20" spans="5:19">
      <c r="G20" t="str">
        <v>ACC-6651</v>
      </c>
      <c r="H20" t="str">
        <f t="shared" si="0"/>
        <v>ACC</v>
      </c>
      <c r="M20" t="str">
        <v>Anjali Yadav</v>
      </c>
      <c r="N20" t="str">
        <f t="shared" si="1"/>
        <v>A</v>
      </c>
      <c r="R20">
        <v>9870001112</v>
      </c>
      <c r="S20" t="str">
        <f t="shared" si="2"/>
        <v>9870</v>
      </c>
    </row>
    <row r="21" spans="5:19">
      <c r="G21" t="str">
        <v>DEV-4597</v>
      </c>
      <c r="H21" t="str">
        <f t="shared" si="0"/>
        <v>DEV</v>
      </c>
      <c r="M21" t="str">
        <v>Deepak Kumar</v>
      </c>
      <c r="N21" t="str">
        <f t="shared" si="1"/>
        <v>D</v>
      </c>
      <c r="R21">
        <v>8888777766</v>
      </c>
      <c r="S21" t="str">
        <f t="shared" si="2"/>
        <v>8888</v>
      </c>
    </row>
    <row r="22" spans="5:19">
      <c r="G22" t="str">
        <v>QA-7015</v>
      </c>
      <c r="H22" t="str">
        <f t="shared" si="0"/>
        <v>QA-</v>
      </c>
      <c r="M22" t="str">
        <v>Riya Kapoor</v>
      </c>
      <c r="N22" t="str">
        <f t="shared" si="1"/>
        <v>R</v>
      </c>
      <c r="R22">
        <v>9000011111</v>
      </c>
      <c r="S22" t="str">
        <f t="shared" si="2"/>
        <v>9000</v>
      </c>
    </row>
    <row r="24" spans="5:19">
      <c r="E24">
        <v>2</v>
      </c>
      <c r="F24" t="s">
        <v>52</v>
      </c>
      <c r="G24" t="str" cm="1">
        <f t="array" ref="G24:G33">City</f>
        <v>Delhi</v>
      </c>
      <c r="H24" t="str">
        <f>LEFT(G24,2)</f>
        <v>De</v>
      </c>
    </row>
    <row r="25" spans="5:19">
      <c r="G25" t="str">
        <v>Jaipur</v>
      </c>
      <c r="H25" t="str">
        <f t="shared" ref="H25:H33" si="3">LEFT(G25,2)</f>
        <v>Ja</v>
      </c>
      <c r="K25">
        <v>4</v>
      </c>
      <c r="L25" t="s">
        <v>54</v>
      </c>
      <c r="M25" t="str" cm="1">
        <f t="array" ref="M25:M34">Email</f>
        <v>aman.sharma@gmail.com</v>
      </c>
      <c r="N25" t="str">
        <f>LEFT(M25,5)</f>
        <v>aman.</v>
      </c>
    </row>
    <row r="26" spans="5:19">
      <c r="G26" t="str">
        <v>Mumbai</v>
      </c>
      <c r="H26" t="str">
        <f t="shared" si="3"/>
        <v>Mu</v>
      </c>
      <c r="M26" t="str">
        <v>priya.verma@yahoo.com</v>
      </c>
      <c r="N26" t="str">
        <f t="shared" ref="N26:N34" si="4">LEFT(M26,5)</f>
        <v>priya</v>
      </c>
    </row>
    <row r="27" spans="5:19">
      <c r="G27" t="str">
        <v>Lucknow</v>
      </c>
      <c r="H27" t="str">
        <f t="shared" si="3"/>
        <v>Lu</v>
      </c>
      <c r="M27" t="str">
        <v>rohit.singh@company.in</v>
      </c>
      <c r="N27" t="str">
        <f t="shared" si="4"/>
        <v>rohit</v>
      </c>
    </row>
    <row r="28" spans="5:19">
      <c r="G28" t="str">
        <v>Chandigarh</v>
      </c>
      <c r="H28" t="str">
        <f t="shared" si="3"/>
        <v>Ch</v>
      </c>
      <c r="M28" t="str">
        <v>neha.gupta@office.com</v>
      </c>
      <c r="N28" t="str">
        <f t="shared" si="4"/>
        <v>neha.</v>
      </c>
    </row>
    <row r="29" spans="5:19">
      <c r="G29" t="str">
        <v>Amritsar</v>
      </c>
      <c r="H29" t="str">
        <f t="shared" si="3"/>
        <v>Am</v>
      </c>
      <c r="M29" t="str">
        <v>karan.mehta@gmail.com</v>
      </c>
      <c r="N29" t="str">
        <f t="shared" si="4"/>
        <v>karan</v>
      </c>
    </row>
    <row r="30" spans="5:19">
      <c r="G30" t="str">
        <v>Noida</v>
      </c>
      <c r="H30" t="str">
        <f t="shared" si="3"/>
        <v>No</v>
      </c>
      <c r="M30" t="str">
        <v>simran.kaur@abc.com</v>
      </c>
      <c r="N30" t="str">
        <f t="shared" si="4"/>
        <v>simra</v>
      </c>
    </row>
    <row r="31" spans="5:19">
      <c r="G31" t="str">
        <v>Panipat</v>
      </c>
      <c r="H31" t="str">
        <f t="shared" si="3"/>
        <v>Pa</v>
      </c>
      <c r="M31" t="str">
        <v>mohit.arora@xyz.in</v>
      </c>
      <c r="N31" t="str">
        <f t="shared" si="4"/>
        <v>mohit</v>
      </c>
    </row>
    <row r="32" spans="5:19">
      <c r="G32" t="str">
        <v>Gurugram</v>
      </c>
      <c r="H32" t="str">
        <f t="shared" si="3"/>
        <v>Gu</v>
      </c>
      <c r="M32" t="str">
        <v>anjali.yadav@test.com</v>
      </c>
      <c r="N32" t="str">
        <f t="shared" si="4"/>
        <v>anjal</v>
      </c>
    </row>
    <row r="33" spans="1:19">
      <c r="G33" t="str">
        <v>Faridabad</v>
      </c>
      <c r="H33" t="str">
        <f t="shared" si="3"/>
        <v>Fa</v>
      </c>
      <c r="M33" t="str">
        <v>deepak.kumar@tech.in</v>
      </c>
      <c r="N33" t="str">
        <f t="shared" si="4"/>
        <v>deepa</v>
      </c>
    </row>
    <row r="34" spans="1:19">
      <c r="M34" t="str">
        <v>riya.kapoor@mail.com</v>
      </c>
      <c r="N34" t="str">
        <f t="shared" si="4"/>
        <v>riya.</v>
      </c>
    </row>
    <row r="35" spans="1:19">
      <c r="A35" t="s">
        <v>46</v>
      </c>
      <c r="B35" t="s">
        <v>47</v>
      </c>
      <c r="C35" t="s">
        <v>56</v>
      </c>
      <c r="D35" t="s">
        <v>48</v>
      </c>
      <c r="E35">
        <v>1</v>
      </c>
      <c r="F35" t="s">
        <v>57</v>
      </c>
      <c r="G35" t="str" cm="1">
        <f t="array" ref="G35:G44">Employee_Code</f>
        <v>EMP-4589</v>
      </c>
      <c r="H35" t="str">
        <f>RIGHT(G35,2)</f>
        <v>89</v>
      </c>
    </row>
    <row r="36" spans="1:19">
      <c r="G36" t="str">
        <v>HR-7845</v>
      </c>
      <c r="H36" t="str">
        <f t="shared" ref="H36:H44" si="5">RIGHT(G36,2)</f>
        <v>45</v>
      </c>
      <c r="K36">
        <v>2</v>
      </c>
      <c r="L36" t="s">
        <v>58</v>
      </c>
      <c r="M36" t="str" cm="1">
        <f t="array" ref="M36:M45">City</f>
        <v>Delhi</v>
      </c>
      <c r="N36" t="str">
        <f>RIGHT(M36,4)</f>
        <v>elhi</v>
      </c>
      <c r="P36">
        <v>5</v>
      </c>
      <c r="Q36" t="s">
        <v>61</v>
      </c>
      <c r="R36" t="str" cm="1">
        <f t="array" ref="R36:R45">Name</f>
        <v>Aman Sharma</v>
      </c>
      <c r="S36" t="str">
        <f>RIGHT(R36,3)</f>
        <v>rma</v>
      </c>
    </row>
    <row r="37" spans="1:19">
      <c r="G37" t="str">
        <v>IT-9621</v>
      </c>
      <c r="H37" t="str">
        <f t="shared" si="5"/>
        <v>21</v>
      </c>
      <c r="M37" t="str">
        <v>Jaipur</v>
      </c>
      <c r="N37" t="str">
        <f t="shared" ref="N37:N45" si="6">RIGHT(M37,4)</f>
        <v>ipur</v>
      </c>
      <c r="R37" t="str">
        <v>Priya Verma</v>
      </c>
      <c r="S37" t="str">
        <f t="shared" ref="S37:S45" si="7">RIGHT(R37,3)</f>
        <v>rma</v>
      </c>
    </row>
    <row r="38" spans="1:19">
      <c r="G38" t="str">
        <v>FIN-3108</v>
      </c>
      <c r="H38" t="str">
        <f t="shared" si="5"/>
        <v>08</v>
      </c>
      <c r="M38" t="str">
        <v>Mumbai</v>
      </c>
      <c r="N38" t="str">
        <f t="shared" si="6"/>
        <v>mbai</v>
      </c>
      <c r="R38" t="str">
        <v>Rohit Singh</v>
      </c>
      <c r="S38" t="str">
        <f t="shared" si="7"/>
        <v>ngh</v>
      </c>
    </row>
    <row r="39" spans="1:19">
      <c r="G39" t="str">
        <v>ADM-5427</v>
      </c>
      <c r="H39" t="str">
        <f t="shared" si="5"/>
        <v>27</v>
      </c>
      <c r="M39" t="str">
        <v>Lucknow</v>
      </c>
      <c r="N39" t="str">
        <f t="shared" si="6"/>
        <v>know</v>
      </c>
      <c r="R39" t="str">
        <v>Neha Gupta</v>
      </c>
      <c r="S39" t="str">
        <f t="shared" si="7"/>
        <v>pta</v>
      </c>
    </row>
    <row r="40" spans="1:19">
      <c r="G40" t="str">
        <v>MKT-8754</v>
      </c>
      <c r="H40" t="str">
        <f t="shared" si="5"/>
        <v>54</v>
      </c>
      <c r="M40" t="str">
        <v>Chandigarh</v>
      </c>
      <c r="N40" t="str">
        <f t="shared" si="6"/>
        <v>garh</v>
      </c>
      <c r="R40" t="str">
        <v>Karan Mehta</v>
      </c>
      <c r="S40" t="str">
        <f t="shared" si="7"/>
        <v>hta</v>
      </c>
    </row>
    <row r="41" spans="1:19">
      <c r="G41" t="str">
        <v>ENG-1432</v>
      </c>
      <c r="H41" t="str">
        <f t="shared" si="5"/>
        <v>32</v>
      </c>
      <c r="M41" t="str">
        <v>Amritsar</v>
      </c>
      <c r="N41" t="str">
        <f t="shared" si="6"/>
        <v>tsar</v>
      </c>
      <c r="R41" t="str">
        <v>Simran Kaur</v>
      </c>
      <c r="S41" t="str">
        <f t="shared" si="7"/>
        <v>aur</v>
      </c>
    </row>
    <row r="42" spans="1:19">
      <c r="G42" t="str">
        <v>ACC-6651</v>
      </c>
      <c r="H42" t="str">
        <f t="shared" si="5"/>
        <v>51</v>
      </c>
      <c r="M42" t="str">
        <v>Noida</v>
      </c>
      <c r="N42" t="str">
        <f t="shared" si="6"/>
        <v>oida</v>
      </c>
      <c r="R42" t="str">
        <v>Mohit Arora</v>
      </c>
      <c r="S42" t="str">
        <f t="shared" si="7"/>
        <v>ora</v>
      </c>
    </row>
    <row r="43" spans="1:19">
      <c r="G43" t="str">
        <v>DEV-4597</v>
      </c>
      <c r="H43" t="str">
        <f t="shared" si="5"/>
        <v>97</v>
      </c>
      <c r="M43" t="str">
        <v>Panipat</v>
      </c>
      <c r="N43" t="str">
        <f t="shared" si="6"/>
        <v>ipat</v>
      </c>
      <c r="R43" t="str">
        <v>Anjali Yadav</v>
      </c>
      <c r="S43" t="str">
        <f t="shared" si="7"/>
        <v>dav</v>
      </c>
    </row>
    <row r="44" spans="1:19">
      <c r="G44" t="str">
        <v>QA-7015</v>
      </c>
      <c r="H44" t="str">
        <f t="shared" si="5"/>
        <v>15</v>
      </c>
      <c r="M44" t="str">
        <v>Gurugram</v>
      </c>
      <c r="N44" t="str">
        <f t="shared" si="6"/>
        <v>gram</v>
      </c>
      <c r="R44" t="str">
        <v>Deepak Kumar</v>
      </c>
      <c r="S44" t="str">
        <f t="shared" si="7"/>
        <v>mar</v>
      </c>
    </row>
    <row r="45" spans="1:19">
      <c r="M45" t="str">
        <v>Faridabad</v>
      </c>
      <c r="N45" t="str">
        <f t="shared" si="6"/>
        <v>abad</v>
      </c>
      <c r="R45" t="str">
        <v>Riya Kapoor</v>
      </c>
      <c r="S45" t="str">
        <f t="shared" si="7"/>
        <v>oor</v>
      </c>
    </row>
    <row r="48" spans="1:19">
      <c r="E48">
        <v>3</v>
      </c>
      <c r="F48" t="s">
        <v>59</v>
      </c>
      <c r="G48" t="str" cm="1">
        <f t="array" ref="G48:G57">Email</f>
        <v>aman.sharma@gmail.com</v>
      </c>
      <c r="H48" t="str">
        <f>RIGHT(G48,3)</f>
        <v>com</v>
      </c>
      <c r="K48">
        <v>4</v>
      </c>
      <c r="L48" t="s">
        <v>60</v>
      </c>
      <c r="M48" cm="1">
        <f t="array" ref="M48:M57">Mobile</f>
        <v>9876543210</v>
      </c>
      <c r="N48" t="str">
        <f>RIGHT(M48,4)</f>
        <v>3210</v>
      </c>
    </row>
    <row r="49" spans="1:19">
      <c r="G49" t="str">
        <v>priya.verma@yahoo.com</v>
      </c>
      <c r="H49" t="str">
        <f t="shared" ref="H49:H57" si="8">RIGHT(G49,3)</f>
        <v>com</v>
      </c>
      <c r="M49">
        <v>9123456789</v>
      </c>
      <c r="N49" t="str">
        <f t="shared" ref="N49:N57" si="9">RIGHT(M49,4)</f>
        <v>6789</v>
      </c>
    </row>
    <row r="50" spans="1:19">
      <c r="G50" t="str">
        <v>rohit.singh@company.in</v>
      </c>
      <c r="H50" t="str">
        <f t="shared" si="8"/>
        <v>.in</v>
      </c>
      <c r="M50">
        <v>9988776655</v>
      </c>
      <c r="N50" t="str">
        <f t="shared" si="9"/>
        <v>6655</v>
      </c>
    </row>
    <row r="51" spans="1:19">
      <c r="G51" t="str">
        <v>neha.gupta@office.com</v>
      </c>
      <c r="H51" t="str">
        <f t="shared" si="8"/>
        <v>com</v>
      </c>
      <c r="M51">
        <v>9871234567</v>
      </c>
      <c r="N51" t="str">
        <f t="shared" si="9"/>
        <v>4567</v>
      </c>
    </row>
    <row r="52" spans="1:19">
      <c r="G52" t="str">
        <v>karan.mehta@gmail.com</v>
      </c>
      <c r="H52" t="str">
        <f t="shared" si="8"/>
        <v>com</v>
      </c>
      <c r="M52">
        <v>9012345678</v>
      </c>
      <c r="N52" t="str">
        <f t="shared" si="9"/>
        <v>5678</v>
      </c>
    </row>
    <row r="53" spans="1:19">
      <c r="G53" t="str">
        <v>simran.kaur@abc.com</v>
      </c>
      <c r="H53" t="str">
        <f t="shared" si="8"/>
        <v>com</v>
      </c>
      <c r="M53">
        <v>9898989898</v>
      </c>
      <c r="N53" t="str">
        <f t="shared" si="9"/>
        <v>9898</v>
      </c>
    </row>
    <row r="54" spans="1:19">
      <c r="G54" t="str">
        <v>mohit.arora@xyz.in</v>
      </c>
      <c r="H54" t="str">
        <f t="shared" si="8"/>
        <v>.in</v>
      </c>
      <c r="M54">
        <v>9090909090</v>
      </c>
      <c r="N54" t="str">
        <f t="shared" si="9"/>
        <v>9090</v>
      </c>
    </row>
    <row r="55" spans="1:19">
      <c r="G55" t="str">
        <v>anjali.yadav@test.com</v>
      </c>
      <c r="H55" t="str">
        <f t="shared" si="8"/>
        <v>com</v>
      </c>
      <c r="M55">
        <v>9870001112</v>
      </c>
      <c r="N55" t="str">
        <f t="shared" si="9"/>
        <v>1112</v>
      </c>
    </row>
    <row r="56" spans="1:19">
      <c r="G56" t="str">
        <v>deepak.kumar@tech.in</v>
      </c>
      <c r="H56" t="str">
        <f t="shared" si="8"/>
        <v>.in</v>
      </c>
      <c r="M56">
        <v>8888777766</v>
      </c>
      <c r="N56" t="str">
        <f t="shared" si="9"/>
        <v>7766</v>
      </c>
    </row>
    <row r="57" spans="1:19">
      <c r="G57" t="str">
        <v>riya.kapoor@mail.com</v>
      </c>
      <c r="H57" t="str">
        <f t="shared" si="8"/>
        <v>com</v>
      </c>
      <c r="M57">
        <v>9000011111</v>
      </c>
      <c r="N57" t="str">
        <f t="shared" si="9"/>
        <v>1111</v>
      </c>
    </row>
    <row r="62" spans="1:19">
      <c r="A62" t="s">
        <v>46</v>
      </c>
      <c r="B62" t="s">
        <v>47</v>
      </c>
      <c r="C62" t="s">
        <v>62</v>
      </c>
      <c r="D62" t="s">
        <v>50</v>
      </c>
      <c r="E62">
        <v>1</v>
      </c>
      <c r="F62" t="s">
        <v>63</v>
      </c>
      <c r="G62" t="str" cm="1">
        <f t="array" ref="G62:G71">Employee_Code</f>
        <v>EMP-4589</v>
      </c>
      <c r="H62" t="str">
        <f>MID(G62,4,3)</f>
        <v>-45</v>
      </c>
      <c r="K62">
        <v>2</v>
      </c>
      <c r="L62" t="s">
        <v>64</v>
      </c>
      <c r="M62" t="str" cm="1">
        <f t="array" ref="M62:M71">Name</f>
        <v>Aman Sharma</v>
      </c>
      <c r="N62" t="str">
        <f>MID(M62,3,5)</f>
        <v>an Sh</v>
      </c>
      <c r="P62">
        <v>5</v>
      </c>
      <c r="Q62" t="s">
        <v>67</v>
      </c>
      <c r="R62" cm="1">
        <f t="array" ref="R62:R71">Mobile</f>
        <v>9876543210</v>
      </c>
      <c r="S62" t="str">
        <f>MID(R62,5,3)</f>
        <v>543</v>
      </c>
    </row>
    <row r="63" spans="1:19">
      <c r="G63" t="str">
        <v>HR-7845</v>
      </c>
      <c r="H63" t="str">
        <f t="shared" ref="H63:H71" si="10">MID(G63,4,3)</f>
        <v>784</v>
      </c>
      <c r="M63" t="str">
        <v>Priya Verma</v>
      </c>
      <c r="N63" t="str">
        <f t="shared" ref="N63:N71" si="11">MID(M63,3,5)</f>
        <v>iya V</v>
      </c>
      <c r="R63">
        <v>9123456789</v>
      </c>
      <c r="S63" t="str">
        <f t="shared" ref="S63:S71" si="12">MID(R63,5,3)</f>
        <v>456</v>
      </c>
    </row>
    <row r="64" spans="1:19">
      <c r="G64" t="str">
        <v>IT-9621</v>
      </c>
      <c r="H64" t="str">
        <f t="shared" si="10"/>
        <v>962</v>
      </c>
      <c r="M64" t="str">
        <v>Rohit Singh</v>
      </c>
      <c r="N64" t="str">
        <f t="shared" si="11"/>
        <v>hit S</v>
      </c>
      <c r="R64">
        <v>9988776655</v>
      </c>
      <c r="S64" t="str">
        <f t="shared" si="12"/>
        <v>776</v>
      </c>
    </row>
    <row r="65" spans="5:19">
      <c r="G65" t="str">
        <v>FIN-3108</v>
      </c>
      <c r="H65" t="str">
        <f t="shared" si="10"/>
        <v>-31</v>
      </c>
      <c r="M65" t="str">
        <v>Neha Gupta</v>
      </c>
      <c r="N65" t="str">
        <f t="shared" si="11"/>
        <v>ha Gu</v>
      </c>
      <c r="R65">
        <v>9871234567</v>
      </c>
      <c r="S65" t="str">
        <f t="shared" si="12"/>
        <v>234</v>
      </c>
    </row>
    <row r="66" spans="5:19">
      <c r="G66" t="str">
        <v>ADM-5427</v>
      </c>
      <c r="H66" t="str">
        <f t="shared" si="10"/>
        <v>-54</v>
      </c>
      <c r="M66" t="str">
        <v>Karan Mehta</v>
      </c>
      <c r="N66" t="str">
        <f t="shared" si="11"/>
        <v>ran M</v>
      </c>
      <c r="R66">
        <v>9012345678</v>
      </c>
      <c r="S66" t="str">
        <f t="shared" si="12"/>
        <v>345</v>
      </c>
    </row>
    <row r="67" spans="5:19">
      <c r="G67" t="str">
        <v>MKT-8754</v>
      </c>
      <c r="H67" t="str">
        <f t="shared" si="10"/>
        <v>-87</v>
      </c>
      <c r="M67" t="str">
        <v>Simran Kaur</v>
      </c>
      <c r="N67" t="str">
        <f t="shared" si="11"/>
        <v xml:space="preserve">mran </v>
      </c>
      <c r="R67">
        <v>9898989898</v>
      </c>
      <c r="S67" t="str">
        <f t="shared" si="12"/>
        <v>989</v>
      </c>
    </row>
    <row r="68" spans="5:19">
      <c r="G68" t="str">
        <v>ENG-1432</v>
      </c>
      <c r="H68" t="str">
        <f t="shared" si="10"/>
        <v>-14</v>
      </c>
      <c r="M68" t="str">
        <v>Mohit Arora</v>
      </c>
      <c r="N68" t="str">
        <f t="shared" si="11"/>
        <v>hit A</v>
      </c>
      <c r="R68">
        <v>9090909090</v>
      </c>
      <c r="S68" t="str">
        <f t="shared" si="12"/>
        <v>909</v>
      </c>
    </row>
    <row r="69" spans="5:19">
      <c r="G69" t="str">
        <v>ACC-6651</v>
      </c>
      <c r="H69" t="str">
        <f t="shared" si="10"/>
        <v>-66</v>
      </c>
      <c r="M69" t="str">
        <v>Anjali Yadav</v>
      </c>
      <c r="N69" t="str">
        <f t="shared" si="11"/>
        <v xml:space="preserve">jali </v>
      </c>
      <c r="R69">
        <v>9870001112</v>
      </c>
      <c r="S69" t="str">
        <f t="shared" si="12"/>
        <v>001</v>
      </c>
    </row>
    <row r="70" spans="5:19">
      <c r="G70" t="str">
        <v>DEV-4597</v>
      </c>
      <c r="H70" t="str">
        <f t="shared" si="10"/>
        <v>-45</v>
      </c>
      <c r="M70" t="str">
        <v>Deepak Kumar</v>
      </c>
      <c r="N70" t="str">
        <f t="shared" si="11"/>
        <v xml:space="preserve">epak </v>
      </c>
      <c r="R70">
        <v>8888777766</v>
      </c>
      <c r="S70" t="str">
        <f t="shared" si="12"/>
        <v>777</v>
      </c>
    </row>
    <row r="71" spans="5:19">
      <c r="G71" t="str">
        <v>QA-7015</v>
      </c>
      <c r="H71" t="str">
        <f t="shared" si="10"/>
        <v>701</v>
      </c>
      <c r="M71" t="str">
        <v>Riya Kapoor</v>
      </c>
      <c r="N71" t="str">
        <f t="shared" si="11"/>
        <v>ya Ka</v>
      </c>
      <c r="R71">
        <v>9000011111</v>
      </c>
      <c r="S71" t="str">
        <f t="shared" si="12"/>
        <v>011</v>
      </c>
    </row>
    <row r="75" spans="5:19">
      <c r="E75">
        <v>3</v>
      </c>
      <c r="F75" t="s">
        <v>65</v>
      </c>
      <c r="G75" t="str" cm="1">
        <f t="array" ref="G75:G84">Email</f>
        <v>aman.sharma@gmail.com</v>
      </c>
      <c r="H75" t="str">
        <f>MID(G75,6,4)</f>
        <v>shar</v>
      </c>
      <c r="K75">
        <v>4</v>
      </c>
      <c r="L75" t="s">
        <v>66</v>
      </c>
      <c r="M75" t="str" cm="1">
        <f t="array" ref="M75:M84">City</f>
        <v>Delhi</v>
      </c>
      <c r="N75" t="str">
        <f>MID(M75,2,3)</f>
        <v>elh</v>
      </c>
    </row>
    <row r="76" spans="5:19">
      <c r="G76" t="str">
        <v>priya.verma@yahoo.com</v>
      </c>
      <c r="H76" t="str">
        <f t="shared" ref="H76:H84" si="13">MID(G76,6,4)</f>
        <v>.ver</v>
      </c>
      <c r="M76" t="str">
        <v>Jaipur</v>
      </c>
      <c r="N76" t="str">
        <f t="shared" ref="N76:N84" si="14">MID(M76,2,3)</f>
        <v>aip</v>
      </c>
    </row>
    <row r="77" spans="5:19">
      <c r="G77" t="str">
        <v>rohit.singh@company.in</v>
      </c>
      <c r="H77" t="str">
        <f t="shared" si="13"/>
        <v>.sin</v>
      </c>
      <c r="M77" t="str">
        <v>Mumbai</v>
      </c>
      <c r="N77" t="str">
        <f t="shared" si="14"/>
        <v>umb</v>
      </c>
    </row>
    <row r="78" spans="5:19">
      <c r="G78" t="str">
        <v>neha.gupta@office.com</v>
      </c>
      <c r="H78" t="str">
        <f t="shared" si="13"/>
        <v>gupt</v>
      </c>
      <c r="M78" t="str">
        <v>Lucknow</v>
      </c>
      <c r="N78" t="str">
        <f t="shared" si="14"/>
        <v>uck</v>
      </c>
    </row>
    <row r="79" spans="5:19">
      <c r="G79" t="str">
        <v>karan.mehta@gmail.com</v>
      </c>
      <c r="H79" t="str">
        <f t="shared" si="13"/>
        <v>.meh</v>
      </c>
      <c r="M79" t="str">
        <v>Chandigarh</v>
      </c>
      <c r="N79" t="str">
        <f t="shared" si="14"/>
        <v>han</v>
      </c>
    </row>
    <row r="80" spans="5:19">
      <c r="G80" t="str">
        <v>simran.kaur@abc.com</v>
      </c>
      <c r="H80" t="str">
        <f t="shared" si="13"/>
        <v>n.ka</v>
      </c>
      <c r="M80" t="str">
        <v>Amritsar</v>
      </c>
      <c r="N80" t="str">
        <f t="shared" si="14"/>
        <v>mri</v>
      </c>
    </row>
    <row r="81" spans="1:19">
      <c r="G81" t="str">
        <v>mohit.arora@xyz.in</v>
      </c>
      <c r="H81" t="str">
        <f t="shared" si="13"/>
        <v>.aro</v>
      </c>
      <c r="M81" t="str">
        <v>Noida</v>
      </c>
      <c r="N81" t="str">
        <f t="shared" si="14"/>
        <v>oid</v>
      </c>
    </row>
    <row r="82" spans="1:19">
      <c r="G82" t="str">
        <v>anjali.yadav@test.com</v>
      </c>
      <c r="H82" t="str">
        <f t="shared" si="13"/>
        <v>i.ya</v>
      </c>
      <c r="M82" t="str">
        <v>Panipat</v>
      </c>
      <c r="N82" t="str">
        <f t="shared" si="14"/>
        <v>ani</v>
      </c>
    </row>
    <row r="83" spans="1:19">
      <c r="G83" t="str">
        <v>deepak.kumar@tech.in</v>
      </c>
      <c r="H83" t="str">
        <f t="shared" si="13"/>
        <v>k.ku</v>
      </c>
      <c r="M83" t="str">
        <v>Gurugram</v>
      </c>
      <c r="N83" t="str">
        <f t="shared" si="14"/>
        <v>uru</v>
      </c>
    </row>
    <row r="84" spans="1:19">
      <c r="G84" t="str">
        <v>riya.kapoor@mail.com</v>
      </c>
      <c r="H84" t="str">
        <f t="shared" si="13"/>
        <v>kapo</v>
      </c>
      <c r="M84" t="str">
        <v>Faridabad</v>
      </c>
      <c r="N84" t="str">
        <f t="shared" si="14"/>
        <v>ari</v>
      </c>
    </row>
    <row r="87" spans="1:19">
      <c r="A87" t="s">
        <v>46</v>
      </c>
      <c r="B87" t="s">
        <v>68</v>
      </c>
      <c r="C87" t="s">
        <v>69</v>
      </c>
      <c r="D87" t="s">
        <v>48</v>
      </c>
      <c r="E87">
        <v>1</v>
      </c>
      <c r="F87" t="s">
        <v>70</v>
      </c>
      <c r="G87" t="str" cm="1">
        <f t="array" ref="G87:G96">Name</f>
        <v>Aman Sharma</v>
      </c>
      <c r="H87">
        <f>LEN(G87)</f>
        <v>11</v>
      </c>
      <c r="K87">
        <v>2</v>
      </c>
      <c r="L87" t="s">
        <v>71</v>
      </c>
      <c r="M87" t="str" cm="1">
        <f t="array" ref="M87:M96">Employee_Code</f>
        <v>EMP-4589</v>
      </c>
      <c r="N87">
        <f>LEN(M87)</f>
        <v>8</v>
      </c>
      <c r="P87">
        <v>5</v>
      </c>
      <c r="Q87" t="s">
        <v>74</v>
      </c>
      <c r="R87" cm="1">
        <f t="array" ref="R87:R96">Mobile</f>
        <v>9876543210</v>
      </c>
      <c r="S87">
        <f>LEN(R87)</f>
        <v>10</v>
      </c>
    </row>
    <row r="88" spans="1:19">
      <c r="G88" t="str">
        <v>Priya Verma</v>
      </c>
      <c r="H88">
        <f t="shared" ref="H88:H96" si="15">LEN(G88)</f>
        <v>11</v>
      </c>
      <c r="M88" t="str">
        <v>HR-7845</v>
      </c>
      <c r="N88">
        <f t="shared" ref="N88:N96" si="16">LEN(M88)</f>
        <v>7</v>
      </c>
      <c r="R88">
        <v>9123456789</v>
      </c>
      <c r="S88">
        <f t="shared" ref="S88:S96" si="17">LEN(R88)</f>
        <v>10</v>
      </c>
    </row>
    <row r="89" spans="1:19">
      <c r="G89" t="str">
        <v>Rohit Singh</v>
      </c>
      <c r="H89">
        <f t="shared" si="15"/>
        <v>11</v>
      </c>
      <c r="M89" t="str">
        <v>IT-9621</v>
      </c>
      <c r="N89">
        <f t="shared" si="16"/>
        <v>7</v>
      </c>
      <c r="R89">
        <v>9988776655</v>
      </c>
      <c r="S89">
        <f t="shared" si="17"/>
        <v>10</v>
      </c>
    </row>
    <row r="90" spans="1:19">
      <c r="G90" t="str">
        <v>Neha Gupta</v>
      </c>
      <c r="H90">
        <f t="shared" si="15"/>
        <v>10</v>
      </c>
      <c r="M90" t="str">
        <v>FIN-3108</v>
      </c>
      <c r="N90">
        <f t="shared" si="16"/>
        <v>8</v>
      </c>
      <c r="R90">
        <v>9871234567</v>
      </c>
      <c r="S90">
        <f t="shared" si="17"/>
        <v>10</v>
      </c>
    </row>
    <row r="91" spans="1:19">
      <c r="G91" t="str">
        <v>Karan Mehta</v>
      </c>
      <c r="H91">
        <f t="shared" si="15"/>
        <v>11</v>
      </c>
      <c r="M91" t="str">
        <v>ADM-5427</v>
      </c>
      <c r="N91">
        <f t="shared" si="16"/>
        <v>8</v>
      </c>
      <c r="R91">
        <v>9012345678</v>
      </c>
      <c r="S91">
        <f t="shared" si="17"/>
        <v>10</v>
      </c>
    </row>
    <row r="92" spans="1:19">
      <c r="G92" t="str">
        <v>Simran Kaur</v>
      </c>
      <c r="H92">
        <f t="shared" si="15"/>
        <v>11</v>
      </c>
      <c r="M92" t="str">
        <v>MKT-8754</v>
      </c>
      <c r="N92">
        <f t="shared" si="16"/>
        <v>8</v>
      </c>
      <c r="R92">
        <v>9898989898</v>
      </c>
      <c r="S92">
        <f t="shared" si="17"/>
        <v>10</v>
      </c>
    </row>
    <row r="93" spans="1:19">
      <c r="G93" t="str">
        <v>Mohit Arora</v>
      </c>
      <c r="H93">
        <f t="shared" si="15"/>
        <v>11</v>
      </c>
      <c r="M93" t="str">
        <v>ENG-1432</v>
      </c>
      <c r="N93">
        <f t="shared" si="16"/>
        <v>8</v>
      </c>
      <c r="R93">
        <v>9090909090</v>
      </c>
      <c r="S93">
        <f t="shared" si="17"/>
        <v>10</v>
      </c>
    </row>
    <row r="94" spans="1:19">
      <c r="G94" t="str">
        <v>Anjali Yadav</v>
      </c>
      <c r="H94">
        <f t="shared" si="15"/>
        <v>12</v>
      </c>
      <c r="M94" t="str">
        <v>ACC-6651</v>
      </c>
      <c r="N94">
        <f t="shared" si="16"/>
        <v>8</v>
      </c>
      <c r="R94">
        <v>9870001112</v>
      </c>
      <c r="S94">
        <f t="shared" si="17"/>
        <v>10</v>
      </c>
    </row>
    <row r="95" spans="1:19">
      <c r="G95" t="str">
        <v>Deepak Kumar</v>
      </c>
      <c r="H95">
        <f t="shared" si="15"/>
        <v>12</v>
      </c>
      <c r="M95" t="str">
        <v>DEV-4597</v>
      </c>
      <c r="N95">
        <f t="shared" si="16"/>
        <v>8</v>
      </c>
      <c r="R95">
        <v>8888777766</v>
      </c>
      <c r="S95">
        <f t="shared" si="17"/>
        <v>10</v>
      </c>
    </row>
    <row r="96" spans="1:19">
      <c r="G96" t="str">
        <v>Riya Kapoor</v>
      </c>
      <c r="H96">
        <f t="shared" si="15"/>
        <v>11</v>
      </c>
      <c r="M96" t="str">
        <v>QA-7015</v>
      </c>
      <c r="N96">
        <f t="shared" si="16"/>
        <v>7</v>
      </c>
      <c r="R96">
        <v>9000011111</v>
      </c>
      <c r="S96">
        <f t="shared" si="17"/>
        <v>10</v>
      </c>
    </row>
    <row r="99" spans="1:14">
      <c r="E99">
        <v>3</v>
      </c>
      <c r="F99" t="s">
        <v>72</v>
      </c>
      <c r="G99" t="str" cm="1">
        <f t="array" ref="G99:G108">Email</f>
        <v>aman.sharma@gmail.com</v>
      </c>
      <c r="H99">
        <f>LEN(G99)</f>
        <v>21</v>
      </c>
      <c r="K99">
        <v>4</v>
      </c>
      <c r="L99" t="s">
        <v>73</v>
      </c>
      <c r="M99" t="str" cm="1">
        <f t="array" ref="M99:M108">City</f>
        <v>Delhi</v>
      </c>
      <c r="N99">
        <f>LEN(M99)</f>
        <v>5</v>
      </c>
    </row>
    <row r="100" spans="1:14">
      <c r="G100" t="str">
        <v>priya.verma@yahoo.com</v>
      </c>
      <c r="H100">
        <f t="shared" ref="H100:H108" si="18">LEN(G100)</f>
        <v>21</v>
      </c>
      <c r="M100" t="str">
        <v>Jaipur</v>
      </c>
      <c r="N100">
        <f t="shared" ref="N100:N108" si="19">LEN(M100)</f>
        <v>6</v>
      </c>
    </row>
    <row r="101" spans="1:14">
      <c r="G101" t="str">
        <v>rohit.singh@company.in</v>
      </c>
      <c r="H101">
        <f t="shared" si="18"/>
        <v>22</v>
      </c>
      <c r="M101" t="str">
        <v>Mumbai</v>
      </c>
      <c r="N101">
        <f t="shared" si="19"/>
        <v>6</v>
      </c>
    </row>
    <row r="102" spans="1:14">
      <c r="G102" t="str">
        <v>neha.gupta@office.com</v>
      </c>
      <c r="H102">
        <f t="shared" si="18"/>
        <v>21</v>
      </c>
      <c r="M102" t="str">
        <v>Lucknow</v>
      </c>
      <c r="N102">
        <f t="shared" si="19"/>
        <v>7</v>
      </c>
    </row>
    <row r="103" spans="1:14">
      <c r="G103" t="str">
        <v>karan.mehta@gmail.com</v>
      </c>
      <c r="H103">
        <f t="shared" si="18"/>
        <v>21</v>
      </c>
      <c r="M103" t="str">
        <v>Chandigarh</v>
      </c>
      <c r="N103">
        <f t="shared" si="19"/>
        <v>10</v>
      </c>
    </row>
    <row r="104" spans="1:14">
      <c r="G104" t="str">
        <v>simran.kaur@abc.com</v>
      </c>
      <c r="H104">
        <f t="shared" si="18"/>
        <v>19</v>
      </c>
      <c r="M104" t="str">
        <v>Amritsar</v>
      </c>
      <c r="N104">
        <f t="shared" si="19"/>
        <v>8</v>
      </c>
    </row>
    <row r="105" spans="1:14">
      <c r="G105" t="str">
        <v>mohit.arora@xyz.in</v>
      </c>
      <c r="H105">
        <f t="shared" si="18"/>
        <v>18</v>
      </c>
      <c r="M105" t="str">
        <v>Noida</v>
      </c>
      <c r="N105">
        <f t="shared" si="19"/>
        <v>5</v>
      </c>
    </row>
    <row r="106" spans="1:14">
      <c r="G106" t="str">
        <v>anjali.yadav@test.com</v>
      </c>
      <c r="H106">
        <f t="shared" si="18"/>
        <v>21</v>
      </c>
      <c r="M106" t="str">
        <v>Panipat</v>
      </c>
      <c r="N106">
        <f t="shared" si="19"/>
        <v>7</v>
      </c>
    </row>
    <row r="107" spans="1:14">
      <c r="G107" t="str">
        <v>deepak.kumar@tech.in</v>
      </c>
      <c r="H107">
        <f t="shared" si="18"/>
        <v>20</v>
      </c>
      <c r="M107" t="str">
        <v>Gurugram</v>
      </c>
      <c r="N107">
        <f t="shared" si="19"/>
        <v>8</v>
      </c>
    </row>
    <row r="108" spans="1:14">
      <c r="G108" t="str">
        <v>riya.kapoor@mail.com</v>
      </c>
      <c r="H108">
        <f t="shared" si="18"/>
        <v>20</v>
      </c>
      <c r="M108" t="str">
        <v>Faridabad</v>
      </c>
      <c r="N108">
        <f t="shared" si="19"/>
        <v>9</v>
      </c>
    </row>
    <row r="112" spans="1:14">
      <c r="A112" t="s">
        <v>46</v>
      </c>
      <c r="B112" t="s">
        <v>47</v>
      </c>
      <c r="C112" t="s">
        <v>75</v>
      </c>
      <c r="D112" t="s">
        <v>48</v>
      </c>
      <c r="E112">
        <v>1</v>
      </c>
      <c r="F112" t="s">
        <v>76</v>
      </c>
      <c r="G112" t="str" cm="1">
        <f t="array" ref="G112:G121">Employee_Code</f>
        <v>EMP-4589</v>
      </c>
      <c r="H112" t="str">
        <f>REPLACE(G112,1,3,"STA")</f>
        <v>STA-4589</v>
      </c>
      <c r="K112">
        <v>2</v>
      </c>
      <c r="L112" t="s">
        <v>77</v>
      </c>
      <c r="M112" t="str" cm="1">
        <f t="array" ref="M112:M121">City</f>
        <v>Delhi</v>
      </c>
      <c r="N112" t="str">
        <f>REPLACE(M112,1,2,"XX")</f>
        <v>XXlhi</v>
      </c>
    </row>
    <row r="113" spans="5:14">
      <c r="G113" t="str">
        <v>HR-7845</v>
      </c>
      <c r="H113" t="str">
        <f t="shared" ref="H113:H121" si="20">REPLACE(G113,1,3,"STA")</f>
        <v>STA7845</v>
      </c>
      <c r="M113" t="str">
        <v>Jaipur</v>
      </c>
      <c r="N113" t="str">
        <f t="shared" ref="N113:N121" si="21">REPLACE(M113,1,2,"XX")</f>
        <v>XXipur</v>
      </c>
    </row>
    <row r="114" spans="5:14">
      <c r="G114" t="str">
        <v>IT-9621</v>
      </c>
      <c r="H114" t="str">
        <f t="shared" si="20"/>
        <v>STA9621</v>
      </c>
      <c r="M114" t="str">
        <v>Mumbai</v>
      </c>
      <c r="N114" t="str">
        <f t="shared" si="21"/>
        <v>XXmbai</v>
      </c>
    </row>
    <row r="115" spans="5:14">
      <c r="G115" t="str">
        <v>FIN-3108</v>
      </c>
      <c r="H115" t="str">
        <f t="shared" si="20"/>
        <v>STA-3108</v>
      </c>
      <c r="M115" t="str">
        <v>Lucknow</v>
      </c>
      <c r="N115" t="str">
        <f t="shared" si="21"/>
        <v>XXcknow</v>
      </c>
    </row>
    <row r="116" spans="5:14">
      <c r="G116" t="str">
        <v>ADM-5427</v>
      </c>
      <c r="H116" t="str">
        <f t="shared" si="20"/>
        <v>STA-5427</v>
      </c>
      <c r="M116" t="str">
        <v>Chandigarh</v>
      </c>
      <c r="N116" t="str">
        <f t="shared" si="21"/>
        <v>XXandigarh</v>
      </c>
    </row>
    <row r="117" spans="5:14">
      <c r="G117" t="str">
        <v>MKT-8754</v>
      </c>
      <c r="H117" t="str">
        <f t="shared" si="20"/>
        <v>STA-8754</v>
      </c>
      <c r="M117" t="str">
        <v>Amritsar</v>
      </c>
      <c r="N117" t="str">
        <f t="shared" si="21"/>
        <v>XXritsar</v>
      </c>
    </row>
    <row r="118" spans="5:14">
      <c r="G118" t="str">
        <v>ENG-1432</v>
      </c>
      <c r="H118" t="str">
        <f t="shared" si="20"/>
        <v>STA-1432</v>
      </c>
      <c r="M118" t="str">
        <v>Noida</v>
      </c>
      <c r="N118" t="str">
        <f t="shared" si="21"/>
        <v>XXida</v>
      </c>
    </row>
    <row r="119" spans="5:14">
      <c r="G119" t="str">
        <v>ACC-6651</v>
      </c>
      <c r="H119" t="str">
        <f t="shared" si="20"/>
        <v>STA-6651</v>
      </c>
      <c r="M119" t="str">
        <v>Panipat</v>
      </c>
      <c r="N119" t="str">
        <f t="shared" si="21"/>
        <v>XXnipat</v>
      </c>
    </row>
    <row r="120" spans="5:14">
      <c r="G120" t="str">
        <v>DEV-4597</v>
      </c>
      <c r="H120" t="str">
        <f t="shared" si="20"/>
        <v>STA-4597</v>
      </c>
      <c r="M120" t="str">
        <v>Gurugram</v>
      </c>
      <c r="N120" t="str">
        <f t="shared" si="21"/>
        <v>XXrugram</v>
      </c>
    </row>
    <row r="121" spans="5:14">
      <c r="G121" t="str">
        <v>QA-7015</v>
      </c>
      <c r="H121" t="str">
        <f t="shared" si="20"/>
        <v>STA7015</v>
      </c>
      <c r="M121" t="str">
        <v>Faridabad</v>
      </c>
      <c r="N121" t="str">
        <f t="shared" si="21"/>
        <v>XXridabad</v>
      </c>
    </row>
    <row r="123" spans="5:14">
      <c r="E123">
        <v>3</v>
      </c>
      <c r="F123" t="s">
        <v>78</v>
      </c>
      <c r="G123" t="str" cm="1">
        <f t="array" ref="G123:G132">Email</f>
        <v>aman.sharma@gmail.com</v>
      </c>
      <c r="H123" t="str">
        <f>REPLACE(G123,1,3,"PAR")</f>
        <v>PARn.sharma@gmail.com</v>
      </c>
      <c r="K123">
        <v>4</v>
      </c>
      <c r="L123" t="s">
        <v>79</v>
      </c>
      <c r="M123" cm="1">
        <f t="array" ref="M123:M132">Mobile</f>
        <v>9876543210</v>
      </c>
      <c r="N123" t="str">
        <f>REPLACE(M123,1,4,"****")</f>
        <v>****543210</v>
      </c>
    </row>
    <row r="124" spans="5:14">
      <c r="G124" t="str">
        <v>priya.verma@yahoo.com</v>
      </c>
      <c r="H124" t="str">
        <f t="shared" ref="H124:H132" si="22">REPLACE(G124,1,3,"PAR")</f>
        <v>PARya.verma@yahoo.com</v>
      </c>
      <c r="M124">
        <v>9123456789</v>
      </c>
      <c r="N124" t="str">
        <f t="shared" ref="N124:N132" si="23">REPLACE(M124,1,4,"****")</f>
        <v>****456789</v>
      </c>
    </row>
    <row r="125" spans="5:14">
      <c r="G125" t="str">
        <v>rohit.singh@company.in</v>
      </c>
      <c r="H125" t="str">
        <f t="shared" si="22"/>
        <v>PARit.singh@company.in</v>
      </c>
      <c r="M125">
        <v>9988776655</v>
      </c>
      <c r="N125" t="str">
        <f t="shared" si="23"/>
        <v>****776655</v>
      </c>
    </row>
    <row r="126" spans="5:14">
      <c r="G126" t="str">
        <v>neha.gupta@office.com</v>
      </c>
      <c r="H126" t="str">
        <f t="shared" si="22"/>
        <v>PARa.gupta@office.com</v>
      </c>
      <c r="M126">
        <v>9871234567</v>
      </c>
      <c r="N126" t="str">
        <f t="shared" si="23"/>
        <v>****234567</v>
      </c>
    </row>
    <row r="127" spans="5:14">
      <c r="G127" t="str">
        <v>karan.mehta@gmail.com</v>
      </c>
      <c r="H127" t="str">
        <f t="shared" si="22"/>
        <v>PARan.mehta@gmail.com</v>
      </c>
      <c r="M127">
        <v>9012345678</v>
      </c>
      <c r="N127" t="str">
        <f t="shared" si="23"/>
        <v>****345678</v>
      </c>
    </row>
    <row r="128" spans="5:14">
      <c r="G128" t="str">
        <v>simran.kaur@abc.com</v>
      </c>
      <c r="H128" t="str">
        <f t="shared" si="22"/>
        <v>PARran.kaur@abc.com</v>
      </c>
      <c r="M128">
        <v>9898989898</v>
      </c>
      <c r="N128" t="str">
        <f t="shared" si="23"/>
        <v>****989898</v>
      </c>
    </row>
    <row r="129" spans="7:14">
      <c r="G129" t="str">
        <v>mohit.arora@xyz.in</v>
      </c>
      <c r="H129" t="str">
        <f t="shared" si="22"/>
        <v>PARit.arora@xyz.in</v>
      </c>
      <c r="M129">
        <v>9090909090</v>
      </c>
      <c r="N129" t="str">
        <f t="shared" si="23"/>
        <v>****909090</v>
      </c>
    </row>
    <row r="130" spans="7:14">
      <c r="G130" t="str">
        <v>anjali.yadav@test.com</v>
      </c>
      <c r="H130" t="str">
        <f t="shared" si="22"/>
        <v>PARali.yadav@test.com</v>
      </c>
      <c r="M130">
        <v>9870001112</v>
      </c>
      <c r="N130" t="str">
        <f t="shared" si="23"/>
        <v>****001112</v>
      </c>
    </row>
    <row r="131" spans="7:14">
      <c r="G131" t="str">
        <v>deepak.kumar@tech.in</v>
      </c>
      <c r="H131" t="str">
        <f t="shared" si="22"/>
        <v>PARpak.kumar@tech.in</v>
      </c>
      <c r="M131">
        <v>8888777766</v>
      </c>
      <c r="N131" t="str">
        <f t="shared" si="23"/>
        <v>****777766</v>
      </c>
    </row>
    <row r="132" spans="7:14">
      <c r="G132" t="str">
        <v>riya.kapoor@mail.com</v>
      </c>
      <c r="H132" t="str">
        <f t="shared" si="22"/>
        <v>PARa.kapoor@mail.com</v>
      </c>
      <c r="M132">
        <v>9000011111</v>
      </c>
      <c r="N132" t="str">
        <f t="shared" si="23"/>
        <v>****011111</v>
      </c>
    </row>
  </sheetData>
  <hyperlinks>
    <hyperlink ref="E2" r:id="rId1" display="mailto:aman.sharma@gmail.com" xr:uid="{E7912EB2-5236-4C55-94D4-021C5EB9C47E}"/>
    <hyperlink ref="E3" r:id="rId2" display="mailto:priya.verma@yahoo.com" xr:uid="{546748BF-F830-417B-B753-13A74EC4CC0B}"/>
    <hyperlink ref="E4" r:id="rId3" display="mailto:rohit.singh@company.in" xr:uid="{485B57E8-4327-436C-8AD8-D12AE40BF78D}"/>
    <hyperlink ref="E5" r:id="rId4" display="mailto:neha.gupta@office.com" xr:uid="{4EF47780-2A2A-4C1D-99BE-6AF40F290F0B}"/>
    <hyperlink ref="E6" r:id="rId5" display="mailto:karan.mehta@gmail.com" xr:uid="{3F59524A-3F6C-4CA7-A736-AD3BEC8E2A32}"/>
    <hyperlink ref="E7" r:id="rId6" display="mailto:simran.kaur@abc.com" xr:uid="{550C55D6-22D1-4960-88F2-1B7F641312D2}"/>
    <hyperlink ref="E8" r:id="rId7" display="mailto:mohit.arora@xyz.in" xr:uid="{7103AE4D-EC96-4FE0-A998-B7C702C82FC2}"/>
    <hyperlink ref="E9" r:id="rId8" display="mailto:anjali.yadav@test.com" xr:uid="{9F8EFFC6-1A6A-4150-A0EE-20D7FE661EBE}"/>
    <hyperlink ref="E10" r:id="rId9" display="mailto:deepak.kumar@tech.in" xr:uid="{FB057813-6C79-4358-AA21-65DD3AD54666}"/>
    <hyperlink ref="E11" r:id="rId10" display="mailto:riya.kapoor@mail.com" xr:uid="{EB83376D-4AD1-40B4-AE22-A836E956FD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Excel Function</vt:lpstr>
      <vt:lpstr>City</vt:lpstr>
      <vt:lpstr>Email</vt:lpstr>
      <vt:lpstr>Employee_Code</vt:lpstr>
      <vt:lpstr>ID</vt:lpstr>
      <vt:lpstr>Mobile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2026-08-02T16:36:01Z</dcterms:created>
  <dcterms:modified xsi:type="dcterms:W3CDTF">2026-08-02T17:11:37Z</dcterms:modified>
</cp:coreProperties>
</file>