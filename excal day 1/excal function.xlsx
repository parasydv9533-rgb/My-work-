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data\excal practice\"/>
    </mc:Choice>
  </mc:AlternateContent>
  <xr:revisionPtr revIDLastSave="0" documentId="13_ncr:1_{0DEE1B85-8EF5-4839-97BE-53E1C02A54F8}" xr6:coauthVersionLast="47" xr6:coauthVersionMax="47" xr10:uidLastSave="{00000000-0000-0000-0000-000000000000}"/>
  <bookViews>
    <workbookView xWindow="0" yWindow="408" windowWidth="11964" windowHeight="11832" xr2:uid="{E5131D6F-EF45-4577-B484-BA9D1A9A74D8}"/>
  </bookViews>
  <sheets>
    <sheet name="function based question" sheetId="1" r:id="rId1"/>
  </sheets>
  <definedNames>
    <definedName name="Bonus">'function based question'!$E$2:$E$11</definedName>
    <definedName name="city">'function based question'!$C$2:$C$11</definedName>
    <definedName name="code">'function based question'!$G$2:$G$11</definedName>
    <definedName name="ID">'function based question'!$A$2:$A$11</definedName>
    <definedName name="Monthly_Salary">'function based question'!$D$2:$D$11</definedName>
    <definedName name="Name">'function based question'!$B$2:$B$11</definedName>
    <definedName name="Rating">'function based question'!$F$2:$F$11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110" i="1" l="1"/>
  <c r="Q113" i="1"/>
  <c r="Q110" i="1"/>
  <c r="Q109" i="1"/>
  <c r="Q111" i="1"/>
  <c r="H113" i="1"/>
  <c r="H110" i="1"/>
  <c r="H111" i="1"/>
  <c r="AC104" i="1"/>
  <c r="Q107" i="1"/>
  <c r="Q104" i="1"/>
  <c r="H107" i="1"/>
  <c r="H105" i="1"/>
  <c r="H104" i="1"/>
  <c r="AC82" i="1" a="1"/>
  <c r="AC82" i="1" s="1"/>
  <c r="AD82" i="1" s="1"/>
  <c r="AE82" i="1" s="1"/>
  <c r="R102" i="1"/>
  <c r="S102" i="1" s="1"/>
  <c r="R101" i="1"/>
  <c r="S101" i="1" s="1"/>
  <c r="R100" i="1"/>
  <c r="S100" i="1" s="1"/>
  <c r="R99" i="1"/>
  <c r="S99" i="1" s="1"/>
  <c r="R98" i="1"/>
  <c r="S98" i="1" s="1"/>
  <c r="R97" i="1"/>
  <c r="S97" i="1" s="1"/>
  <c r="Q93" i="1" a="1"/>
  <c r="Q93" i="1" s="1"/>
  <c r="R93" i="1" s="1"/>
  <c r="S93" i="1" s="1"/>
  <c r="Q82" i="1" a="1"/>
  <c r="Q82" i="1" s="1"/>
  <c r="R82" i="1" s="1"/>
  <c r="H93" i="1" a="1"/>
  <c r="H93" i="1" s="1"/>
  <c r="I93" i="1" s="1"/>
  <c r="I91" i="1"/>
  <c r="I90" i="1"/>
  <c r="I89" i="1"/>
  <c r="I88" i="1"/>
  <c r="I87" i="1"/>
  <c r="I82" i="1"/>
  <c r="H82" i="1" a="1"/>
  <c r="H82" i="1" s="1"/>
  <c r="AE110" i="1"/>
  <c r="R113" i="1"/>
  <c r="R111" i="1"/>
  <c r="I113" i="1"/>
  <c r="I111" i="1"/>
  <c r="I110" i="1"/>
  <c r="I105" i="1"/>
  <c r="R104" i="1"/>
  <c r="AD104" i="1"/>
  <c r="R107" i="1"/>
  <c r="S104" i="1"/>
  <c r="I107" i="1"/>
  <c r="AF83" i="1"/>
  <c r="AF82" i="1"/>
  <c r="T94" i="1"/>
  <c r="T93" i="1"/>
  <c r="S82" i="1"/>
  <c r="J93" i="1"/>
  <c r="J82" i="1"/>
  <c r="AG61" i="1"/>
  <c r="AG28" i="1"/>
  <c r="AD86" i="1" l="1"/>
  <c r="AE86" i="1" s="1"/>
  <c r="R87" i="1"/>
  <c r="AD87" i="1"/>
  <c r="AE87" i="1" s="1"/>
  <c r="I94" i="1"/>
  <c r="R88" i="1"/>
  <c r="AD88" i="1"/>
  <c r="AE88" i="1" s="1"/>
  <c r="I95" i="1"/>
  <c r="R89" i="1"/>
  <c r="AD89" i="1"/>
  <c r="AE89" i="1" s="1"/>
  <c r="I96" i="1"/>
  <c r="R90" i="1"/>
  <c r="AD90" i="1"/>
  <c r="AE90" i="1" s="1"/>
  <c r="I97" i="1"/>
  <c r="R91" i="1"/>
  <c r="AD91" i="1"/>
  <c r="AE91" i="1" s="1"/>
  <c r="R83" i="1"/>
  <c r="AD83" i="1"/>
  <c r="AE83" i="1" s="1"/>
  <c r="R84" i="1"/>
  <c r="AD84" i="1"/>
  <c r="AE84" i="1" s="1"/>
  <c r="R85" i="1"/>
  <c r="AD85" i="1"/>
  <c r="AE85" i="1" s="1"/>
  <c r="R86" i="1"/>
  <c r="I98" i="1"/>
  <c r="I83" i="1"/>
  <c r="I99" i="1"/>
  <c r="I84" i="1"/>
  <c r="I100" i="1"/>
  <c r="R94" i="1"/>
  <c r="S94" i="1" s="1"/>
  <c r="I85" i="1"/>
  <c r="I101" i="1"/>
  <c r="R95" i="1"/>
  <c r="S95" i="1" s="1"/>
  <c r="I86" i="1"/>
  <c r="I102" i="1"/>
  <c r="R96" i="1"/>
  <c r="S96" i="1" s="1"/>
  <c r="AE69" i="1"/>
  <c r="AF69" i="1" s="1"/>
  <c r="AE68" i="1"/>
  <c r="AF68" i="1" s="1"/>
  <c r="AE67" i="1"/>
  <c r="AF67" i="1" s="1"/>
  <c r="AE66" i="1"/>
  <c r="AF66" i="1" s="1"/>
  <c r="AD60" i="1" a="1"/>
  <c r="AD60" i="1" s="1"/>
  <c r="AC60" i="1" a="1"/>
  <c r="AC60" i="1" s="1"/>
  <c r="AE60" i="1" s="1"/>
  <c r="AF60" i="1" s="1"/>
  <c r="R80" i="1"/>
  <c r="R79" i="1"/>
  <c r="R78" i="1"/>
  <c r="R77" i="1"/>
  <c r="R76" i="1"/>
  <c r="R75" i="1"/>
  <c r="R74" i="1"/>
  <c r="R73" i="1"/>
  <c r="Q71" i="1" a="1"/>
  <c r="Q71" i="1" s="1"/>
  <c r="R71" i="1" s="1"/>
  <c r="Q60" i="1" a="1"/>
  <c r="Q60" i="1" s="1"/>
  <c r="R60" i="1" s="1"/>
  <c r="I80" i="1"/>
  <c r="I79" i="1"/>
  <c r="H71" i="1" a="1"/>
  <c r="H71" i="1" s="1"/>
  <c r="I71" i="1" s="1"/>
  <c r="AG60" i="1"/>
  <c r="S71" i="1"/>
  <c r="S60" i="1"/>
  <c r="J71" i="1"/>
  <c r="J60" i="1"/>
  <c r="J49" i="1"/>
  <c r="R61" i="1" l="1"/>
  <c r="R64" i="1"/>
  <c r="R65" i="1"/>
  <c r="I73" i="1"/>
  <c r="I74" i="1"/>
  <c r="R68" i="1"/>
  <c r="AE61" i="1"/>
  <c r="AF61" i="1" s="1"/>
  <c r="I75" i="1"/>
  <c r="R69" i="1"/>
  <c r="AE62" i="1"/>
  <c r="AF62" i="1" s="1"/>
  <c r="I76" i="1"/>
  <c r="I77" i="1"/>
  <c r="AE64" i="1"/>
  <c r="AF64" i="1" s="1"/>
  <c r="R62" i="1"/>
  <c r="R63" i="1"/>
  <c r="I72" i="1"/>
  <c r="R66" i="1"/>
  <c r="R67" i="1"/>
  <c r="AE63" i="1"/>
  <c r="AF63" i="1" s="1"/>
  <c r="I78" i="1"/>
  <c r="R72" i="1"/>
  <c r="AE65" i="1"/>
  <c r="AF65" i="1" s="1"/>
  <c r="I69" i="1"/>
  <c r="I68" i="1"/>
  <c r="I67" i="1"/>
  <c r="I66" i="1"/>
  <c r="I65" i="1"/>
  <c r="I64" i="1"/>
  <c r="I63" i="1"/>
  <c r="I62" i="1"/>
  <c r="I61" i="1"/>
  <c r="I60" i="1"/>
  <c r="H60" i="1" a="1"/>
  <c r="H60" i="1" s="1"/>
  <c r="AE36" i="1"/>
  <c r="AF36" i="1" s="1"/>
  <c r="AE35" i="1"/>
  <c r="AF35" i="1" s="1"/>
  <c r="AE34" i="1"/>
  <c r="AF34" i="1" s="1"/>
  <c r="AE33" i="1"/>
  <c r="AF33" i="1" s="1"/>
  <c r="AE32" i="1"/>
  <c r="AF32" i="1" s="1"/>
  <c r="AD27" i="1" a="1"/>
  <c r="AD27" i="1" s="1"/>
  <c r="AE27" i="1" s="1"/>
  <c r="AF27" i="1" s="1"/>
  <c r="AC27" i="1" a="1"/>
  <c r="AC27" i="1" s="1"/>
  <c r="R58" i="1"/>
  <c r="R57" i="1"/>
  <c r="R56" i="1"/>
  <c r="R55" i="1"/>
  <c r="R54" i="1"/>
  <c r="R53" i="1"/>
  <c r="R52" i="1"/>
  <c r="R51" i="1"/>
  <c r="R50" i="1"/>
  <c r="Q49" i="1" a="1"/>
  <c r="Q49" i="1" s="1"/>
  <c r="R49" i="1" s="1"/>
  <c r="Q38" i="1" a="1"/>
  <c r="Q38" i="1" s="1"/>
  <c r="R38" i="1" s="1"/>
  <c r="I58" i="1"/>
  <c r="I57" i="1"/>
  <c r="I56" i="1"/>
  <c r="I51" i="1"/>
  <c r="I50" i="1"/>
  <c r="H49" i="1" a="1"/>
  <c r="H49" i="1" s="1"/>
  <c r="I49" i="1" s="1"/>
  <c r="I47" i="1"/>
  <c r="I46" i="1"/>
  <c r="I45" i="1"/>
  <c r="I44" i="1"/>
  <c r="I43" i="1"/>
  <c r="I42" i="1"/>
  <c r="I41" i="1"/>
  <c r="I40" i="1"/>
  <c r="H38" i="1" a="1"/>
  <c r="H38" i="1" s="1"/>
  <c r="I38" i="1" s="1"/>
  <c r="AE24" i="1"/>
  <c r="AE23" i="1"/>
  <c r="AE20" i="1"/>
  <c r="AE19" i="1"/>
  <c r="AF19" i="1" s="1"/>
  <c r="AE18" i="1"/>
  <c r="AF18" i="1" s="1"/>
  <c r="AE17" i="1"/>
  <c r="AF17" i="1" s="1"/>
  <c r="AE16" i="1"/>
  <c r="AF16" i="1" s="1"/>
  <c r="AF24" i="1"/>
  <c r="AF23" i="1"/>
  <c r="AD16" i="1" a="1"/>
  <c r="AD16" i="1" s="1"/>
  <c r="AC16" i="1" a="1"/>
  <c r="AC16" i="1" s="1"/>
  <c r="Q27" i="1" a="1"/>
  <c r="Q27" i="1" s="1"/>
  <c r="R27" i="1" s="1"/>
  <c r="R25" i="1"/>
  <c r="Q16" i="1" a="1"/>
  <c r="Q16" i="1" s="1"/>
  <c r="R16" i="1" s="1"/>
  <c r="I36" i="1"/>
  <c r="I35" i="1"/>
  <c r="I34" i="1"/>
  <c r="I33" i="1"/>
  <c r="I32" i="1"/>
  <c r="I31" i="1"/>
  <c r="H27" i="1" a="1"/>
  <c r="H27" i="1" s="1"/>
  <c r="I27" i="1" s="1"/>
  <c r="I16" i="1" a="1"/>
  <c r="I16" i="1" s="1"/>
  <c r="H16" i="1" a="1"/>
  <c r="H16" i="1" s="1"/>
  <c r="AG27" i="1"/>
  <c r="S49" i="1"/>
  <c r="S38" i="1"/>
  <c r="J38" i="1"/>
  <c r="AG17" i="1"/>
  <c r="AG16" i="1"/>
  <c r="S27" i="1"/>
  <c r="S16" i="1"/>
  <c r="J27" i="1"/>
  <c r="J16" i="1"/>
  <c r="R39" i="1" l="1"/>
  <c r="R30" i="1"/>
  <c r="R31" i="1"/>
  <c r="R40" i="1"/>
  <c r="R32" i="1"/>
  <c r="R41" i="1"/>
  <c r="R17" i="1"/>
  <c r="R33" i="1"/>
  <c r="AE21" i="1"/>
  <c r="AF21" i="1" s="1"/>
  <c r="R42" i="1"/>
  <c r="R18" i="1"/>
  <c r="R34" i="1"/>
  <c r="AE22" i="1"/>
  <c r="AF22" i="1" s="1"/>
  <c r="R43" i="1"/>
  <c r="R28" i="1"/>
  <c r="R29" i="1"/>
  <c r="R19" i="1"/>
  <c r="R35" i="1"/>
  <c r="R44" i="1"/>
  <c r="R20" i="1"/>
  <c r="R36" i="1"/>
  <c r="R45" i="1"/>
  <c r="R21" i="1"/>
  <c r="AE25" i="1"/>
  <c r="AF25" i="1" s="1"/>
  <c r="I52" i="1"/>
  <c r="R46" i="1"/>
  <c r="AE28" i="1"/>
  <c r="AF28" i="1" s="1"/>
  <c r="I28" i="1"/>
  <c r="R22" i="1"/>
  <c r="I53" i="1"/>
  <c r="R47" i="1"/>
  <c r="AE29" i="1"/>
  <c r="AF29" i="1" s="1"/>
  <c r="I29" i="1"/>
  <c r="R23" i="1"/>
  <c r="AF20" i="1"/>
  <c r="I54" i="1"/>
  <c r="AE30" i="1"/>
  <c r="AF30" i="1" s="1"/>
  <c r="I30" i="1"/>
  <c r="R24" i="1"/>
  <c r="I39" i="1"/>
  <c r="I55" i="1"/>
  <c r="AE31" i="1"/>
  <c r="AF3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<sst xmlns="http://schemas.openxmlformats.org/spreadsheetml/2006/main" count="91" uniqueCount="78">
  <si>
    <t>ID</t>
  </si>
  <si>
    <t>Employee Name</t>
  </si>
  <si>
    <t>City</t>
  </si>
  <si>
    <t>Monthly Salary (₹)</t>
  </si>
  <si>
    <t>Bonus (₹)</t>
  </si>
  <si>
    <t>Rating</t>
  </si>
  <si>
    <t>Code</t>
  </si>
  <si>
    <t>Aman Sharma</t>
  </si>
  <si>
    <t>Delhi</t>
  </si>
  <si>
    <t>EMP001</t>
  </si>
  <si>
    <t>Riya Verma</t>
  </si>
  <si>
    <t>Jaipur</t>
  </si>
  <si>
    <t>EMP002</t>
  </si>
  <si>
    <t>Mohit Singh</t>
  </si>
  <si>
    <t>Pune</t>
  </si>
  <si>
    <t>EMP003</t>
  </si>
  <si>
    <t>Neha Gupta</t>
  </si>
  <si>
    <t>Lucknow</t>
  </si>
  <si>
    <t>EMP004</t>
  </si>
  <si>
    <t>Karan Yadav</t>
  </si>
  <si>
    <t>Bhopal</t>
  </si>
  <si>
    <t>EMP005</t>
  </si>
  <si>
    <t>Priya Kapoor</t>
  </si>
  <si>
    <t>Indore</t>
  </si>
  <si>
    <t>EMP006</t>
  </si>
  <si>
    <t>Ravi Kumar</t>
  </si>
  <si>
    <t>Noida</t>
  </si>
  <si>
    <t>EMP007</t>
  </si>
  <si>
    <t>Sneha Joshi</t>
  </si>
  <si>
    <t>Surat</t>
  </si>
  <si>
    <t>EMP008</t>
  </si>
  <si>
    <t>Deepak Mehta</t>
  </si>
  <si>
    <t>Nagpur</t>
  </si>
  <si>
    <t>EMP009</t>
  </si>
  <si>
    <t>Anjali Roy</t>
  </si>
  <si>
    <t>Chandigarh</t>
  </si>
  <si>
    <t>EMP010</t>
  </si>
  <si>
    <t xml:space="preserve">question </t>
  </si>
  <si>
    <t>of</t>
  </si>
  <si>
    <t>Round</t>
  </si>
  <si>
    <t>function</t>
  </si>
  <si>
    <r>
      <t xml:space="preserve">Salary ko </t>
    </r>
    <r>
      <rPr>
        <b/>
        <sz val="11"/>
        <color theme="1"/>
        <rFont val="Aptos Narrow"/>
        <family val="2"/>
        <scheme val="minor"/>
      </rPr>
      <t>0 decimal</t>
    </r>
    <r>
      <rPr>
        <sz val="11"/>
        <color theme="1"/>
        <rFont val="Aptos Narrow"/>
        <family val="2"/>
        <scheme val="minor"/>
      </rPr>
      <t xml:space="preserve"> tak round karo.</t>
    </r>
  </si>
  <si>
    <r>
      <t xml:space="preserve">Bonus ko </t>
    </r>
    <r>
      <rPr>
        <b/>
        <sz val="11"/>
        <color theme="1"/>
        <rFont val="Aptos Narrow"/>
        <family val="2"/>
        <scheme val="minor"/>
      </rPr>
      <t>1 decimal</t>
    </r>
    <r>
      <rPr>
        <sz val="11"/>
        <color theme="1"/>
        <rFont val="Aptos Narrow"/>
        <family val="2"/>
        <scheme val="minor"/>
      </rPr>
      <t xml:space="preserve"> tak round karo</t>
    </r>
  </si>
  <si>
    <r>
      <t xml:space="preserve">Salary ko </t>
    </r>
    <r>
      <rPr>
        <b/>
        <sz val="11"/>
        <color theme="1"/>
        <rFont val="Aptos Narrow"/>
        <family val="2"/>
        <scheme val="minor"/>
      </rPr>
      <t>nearest 100</t>
    </r>
    <r>
      <rPr>
        <sz val="11"/>
        <color theme="1"/>
        <rFont val="Aptos Narrow"/>
        <family val="2"/>
        <scheme val="minor"/>
      </rPr>
      <t xml:space="preserve"> tak round karo.</t>
    </r>
  </si>
  <si>
    <r>
      <t xml:space="preserve">Bonus ko </t>
    </r>
    <r>
      <rPr>
        <b/>
        <sz val="11"/>
        <color theme="1"/>
        <rFont val="Aptos Narrow"/>
        <family val="2"/>
        <scheme val="minor"/>
      </rPr>
      <t>nearest 10</t>
    </r>
    <r>
      <rPr>
        <sz val="11"/>
        <color theme="1"/>
        <rFont val="Aptos Narrow"/>
        <family val="2"/>
        <scheme val="minor"/>
      </rPr>
      <t xml:space="preserve"> tak round karo.</t>
    </r>
  </si>
  <si>
    <r>
      <t xml:space="preserve">Salary + Bonus ka total nikal kar </t>
    </r>
    <r>
      <rPr>
        <b/>
        <sz val="11"/>
        <color theme="1"/>
        <rFont val="Aptos Narrow"/>
        <family val="2"/>
        <scheme val="minor"/>
      </rPr>
      <t>2 decimal</t>
    </r>
    <r>
      <rPr>
        <sz val="11"/>
        <color theme="1"/>
        <rFont val="Aptos Narrow"/>
        <family val="2"/>
        <scheme val="minor"/>
      </rPr>
      <t xml:space="preserve"> tak round karo</t>
    </r>
  </si>
  <si>
    <t>question</t>
  </si>
  <si>
    <t>CIELLING</t>
  </si>
  <si>
    <t>fumction</t>
  </si>
  <si>
    <r>
      <t xml:space="preserve">Salary ko </t>
    </r>
    <r>
      <rPr>
        <b/>
        <sz val="11"/>
        <color theme="1"/>
        <rFont val="Aptos Narrow"/>
        <family val="2"/>
        <scheme val="minor"/>
      </rPr>
      <t>next multiple of 1000</t>
    </r>
    <r>
      <rPr>
        <sz val="11"/>
        <color theme="1"/>
        <rFont val="Aptos Narrow"/>
        <family val="2"/>
        <scheme val="minor"/>
      </rPr>
      <t xml:space="preserve"> par round up karo.</t>
    </r>
  </si>
  <si>
    <r>
      <t xml:space="preserve">Bonus ko </t>
    </r>
    <r>
      <rPr>
        <b/>
        <sz val="11"/>
        <color theme="1"/>
        <rFont val="Aptos Narrow"/>
        <family val="2"/>
        <scheme val="minor"/>
      </rPr>
      <t>next multiple of 100</t>
    </r>
    <r>
      <rPr>
        <sz val="11"/>
        <color theme="1"/>
        <rFont val="Aptos Narrow"/>
        <family val="2"/>
        <scheme val="minor"/>
      </rPr>
      <t xml:space="preserve"> par round up karo.</t>
    </r>
  </si>
  <si>
    <r>
      <t xml:space="preserve">Salary ko </t>
    </r>
    <r>
      <rPr>
        <b/>
        <sz val="11"/>
        <color theme="1"/>
        <rFont val="Aptos Narrow"/>
        <family val="2"/>
        <scheme val="minor"/>
      </rPr>
      <t>next multiple of 500</t>
    </r>
    <r>
      <rPr>
        <sz val="11"/>
        <color theme="1"/>
        <rFont val="Aptos Narrow"/>
        <family val="2"/>
        <scheme val="minor"/>
      </rPr>
      <t xml:space="preserve"> par round up karo.</t>
    </r>
  </si>
  <si>
    <r>
      <t xml:space="preserve">Rating ko </t>
    </r>
    <r>
      <rPr>
        <b/>
        <sz val="11"/>
        <color theme="1"/>
        <rFont val="Aptos Narrow"/>
        <family val="2"/>
        <scheme val="minor"/>
      </rPr>
      <t>next whole number</t>
    </r>
    <r>
      <rPr>
        <sz val="11"/>
        <color theme="1"/>
        <rFont val="Aptos Narrow"/>
        <family val="2"/>
        <scheme val="minor"/>
      </rPr>
      <t xml:space="preserve"> par round up karo.</t>
    </r>
  </si>
  <si>
    <r>
      <t xml:space="preserve">Salary + Bonus ka total nikal kar </t>
    </r>
    <r>
      <rPr>
        <b/>
        <sz val="11"/>
        <color theme="1"/>
        <rFont val="Aptos Narrow"/>
        <family val="2"/>
        <scheme val="minor"/>
      </rPr>
      <t>2 decimal</t>
    </r>
    <r>
      <rPr>
        <sz val="11"/>
        <color theme="1"/>
        <rFont val="Aptos Narrow"/>
        <family val="2"/>
        <scheme val="minor"/>
      </rPr>
      <t xml:space="preserve"> tak round karo.</t>
    </r>
  </si>
  <si>
    <t>Floor</t>
  </si>
  <si>
    <r>
      <t xml:space="preserve">Salary ko </t>
    </r>
    <r>
      <rPr>
        <b/>
        <sz val="11"/>
        <color theme="1"/>
        <rFont val="Aptos Narrow"/>
        <family val="2"/>
        <scheme val="minor"/>
      </rPr>
      <t>lower multiple of 1000</t>
    </r>
    <r>
      <rPr>
        <sz val="11"/>
        <color theme="1"/>
        <rFont val="Aptos Narrow"/>
        <family val="2"/>
        <scheme val="minor"/>
      </rPr>
      <t xml:space="preserve"> par lao.</t>
    </r>
  </si>
  <si>
    <r>
      <t xml:space="preserve">Bonus ko </t>
    </r>
    <r>
      <rPr>
        <b/>
        <sz val="11"/>
        <color theme="1"/>
        <rFont val="Aptos Narrow"/>
        <family val="2"/>
        <scheme val="minor"/>
      </rPr>
      <t>lower multiple of 100</t>
    </r>
    <r>
      <rPr>
        <sz val="11"/>
        <color theme="1"/>
        <rFont val="Aptos Narrow"/>
        <family val="2"/>
        <scheme val="minor"/>
      </rPr>
      <t xml:space="preserve"> par lao.</t>
    </r>
  </si>
  <si>
    <r>
      <t xml:space="preserve">Salary ko </t>
    </r>
    <r>
      <rPr>
        <b/>
        <sz val="11"/>
        <color theme="1"/>
        <rFont val="Aptos Narrow"/>
        <family val="2"/>
        <scheme val="minor"/>
      </rPr>
      <t>lower multiple of 500</t>
    </r>
    <r>
      <rPr>
        <sz val="11"/>
        <color theme="1"/>
        <rFont val="Aptos Narrow"/>
        <family val="2"/>
        <scheme val="minor"/>
      </rPr>
      <t xml:space="preserve"> par lao.</t>
    </r>
  </si>
  <si>
    <r>
      <t xml:space="preserve">Rating ko </t>
    </r>
    <r>
      <rPr>
        <b/>
        <sz val="11"/>
        <color theme="1"/>
        <rFont val="Aptos Narrow"/>
        <family val="2"/>
        <scheme val="minor"/>
      </rPr>
      <t>lower whole number</t>
    </r>
    <r>
      <rPr>
        <sz val="11"/>
        <color theme="1"/>
        <rFont val="Aptos Narrow"/>
        <family val="2"/>
        <scheme val="minor"/>
      </rPr>
      <t xml:space="preserve"> par lao.</t>
    </r>
  </si>
  <si>
    <r>
      <t xml:space="preserve">Salary + Bonus ko </t>
    </r>
    <r>
      <rPr>
        <b/>
        <sz val="11"/>
        <color theme="1"/>
        <rFont val="Aptos Narrow"/>
        <family val="2"/>
        <scheme val="minor"/>
      </rPr>
      <t>lower multiple of 500</t>
    </r>
    <r>
      <rPr>
        <sz val="11"/>
        <color theme="1"/>
        <rFont val="Aptos Narrow"/>
        <family val="2"/>
        <scheme val="minor"/>
      </rPr>
      <t xml:space="preserve"> par lao.</t>
    </r>
  </si>
  <si>
    <t>INT</t>
  </si>
  <si>
    <t>Salary ka integer part nikalo.</t>
  </si>
  <si>
    <t>Bonus ka integer part nikalo</t>
  </si>
  <si>
    <t>Rating ka integer part nikalo</t>
  </si>
  <si>
    <t>Salary ÷ 1000 ka integer part nikalo.</t>
  </si>
  <si>
    <t>Bonus ÷ 100 ka integer part nikalo.</t>
  </si>
  <si>
    <t>TRIM</t>
  </si>
  <si>
    <t>Employee Name me extra spaces hatao.</t>
  </si>
  <si>
    <t>Code me starting aur ending spaces hatao</t>
  </si>
  <si>
    <t>Saare Employee Name clean karke naye column me dikhao.</t>
  </si>
  <si>
    <t>. Saare Code clean karke naye column me dikhao.</t>
  </si>
  <si>
    <t>. TRIM use karke Name aur Code ko combine karo.</t>
  </si>
  <si>
    <t>clean</t>
  </si>
  <si>
    <t>Employee Name par CLEAN lagao.</t>
  </si>
  <si>
    <t>Code par CLEAN lagao.</t>
  </si>
  <si>
    <r>
      <t>=CLEAN(TRIM(Name))</t>
    </r>
    <r>
      <rPr>
        <sz val="11"/>
        <color theme="1"/>
        <rFont val="Aptos Narrow"/>
        <family val="2"/>
        <scheme val="minor"/>
      </rPr>
      <t xml:space="preserve"> use karo.</t>
    </r>
  </si>
  <si>
    <r>
      <t>=CLEAN(TRIM(Code))</t>
    </r>
    <r>
      <rPr>
        <sz val="11"/>
        <color theme="1"/>
        <rFont val="Aptos Narrow"/>
        <family val="2"/>
        <scheme val="minor"/>
      </rPr>
      <t xml:space="preserve"> use karo.</t>
    </r>
  </si>
  <si>
    <t>Name aur Code dono ko CLEAN + TRIM karke ek naye column me dikhao.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</si>
</sst>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F0A53-7014-40E3-ABA3-5DAF7A5615B1}">
  <dimension ref="A1:AG113"/>
  <sheetViews>
    <sheetView tabSelected="1" zoomScale="50" workbookViewId="0">
      <selection activeCell="AE110" sqref="AE110"/>
    </sheetView>
  </sheetViews>
  <sheetFormatPr defaultRowHeight="14.4" x14ac:dyDescent="0.3"/>
  <cols>
    <col min="7" max="7" width="40.44140625" customWidth="1"/>
    <col min="8" max="8" width="17.33203125" customWidth="1"/>
    <col min="16" max="16" width="37.88671875" customWidth="1"/>
    <col min="17" max="17" width="18" customWidth="1"/>
    <col min="28" max="28" width="13.5546875" customWidth="1"/>
    <col min="29" max="29" width="23.33203125" customWidth="1"/>
    <col min="30" max="30" width="24" customWidth="1"/>
  </cols>
  <sheetData>
    <row r="1" spans="1:33" ht="28.8" x14ac:dyDescent="0.3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1" t="s">
        <v>6</v>
      </c>
    </row>
    <row r="2" spans="1:33" ht="26.4" x14ac:dyDescent="0.3">
      <c r="A2" s="4">
        <v>101</v>
      </c>
      <c r="B2" s="5" t="s">
        <v>7</v>
      </c>
      <c r="C2" s="4" t="s">
        <v>8</v>
      </c>
      <c r="D2" s="2">
        <v>32456.78</v>
      </c>
      <c r="E2" s="2">
        <v>3456.49</v>
      </c>
      <c r="F2" s="2">
        <v>4.8</v>
      </c>
      <c r="G2" s="5" t="s">
        <v>9</v>
      </c>
    </row>
    <row r="3" spans="1:33" ht="26.4" x14ac:dyDescent="0.3">
      <c r="A3" s="4">
        <v>102</v>
      </c>
      <c r="B3" s="5" t="s">
        <v>10</v>
      </c>
      <c r="C3" s="4" t="s">
        <v>11</v>
      </c>
      <c r="D3" s="2">
        <v>28999.35</v>
      </c>
      <c r="E3" s="2">
        <v>1899.6</v>
      </c>
      <c r="F3" s="2">
        <v>3.9</v>
      </c>
      <c r="G3" s="5" t="s">
        <v>12</v>
      </c>
    </row>
    <row r="4" spans="1:33" ht="26.4" x14ac:dyDescent="0.3">
      <c r="A4" s="4">
        <v>103</v>
      </c>
      <c r="B4" s="5" t="s">
        <v>13</v>
      </c>
      <c r="C4" s="4" t="s">
        <v>14</v>
      </c>
      <c r="D4" s="2">
        <v>41789.919999999998</v>
      </c>
      <c r="E4" s="2">
        <v>2599.1999999999998</v>
      </c>
      <c r="F4" s="2">
        <v>4.2</v>
      </c>
      <c r="G4" s="5" t="s">
        <v>15</v>
      </c>
    </row>
    <row r="5" spans="1:33" ht="26.4" x14ac:dyDescent="0.3">
      <c r="A5" s="4">
        <v>104</v>
      </c>
      <c r="B5" s="5" t="s">
        <v>16</v>
      </c>
      <c r="C5" s="4" t="s">
        <v>17</v>
      </c>
      <c r="D5" s="2">
        <v>19876.48</v>
      </c>
      <c r="E5" s="2">
        <v>950.75</v>
      </c>
      <c r="F5" s="2">
        <v>3.4</v>
      </c>
      <c r="G5" s="5" t="s">
        <v>18</v>
      </c>
    </row>
    <row r="6" spans="1:33" ht="26.4" x14ac:dyDescent="0.3">
      <c r="A6" s="4">
        <v>105</v>
      </c>
      <c r="B6" s="5" t="s">
        <v>19</v>
      </c>
      <c r="C6" s="4" t="s">
        <v>20</v>
      </c>
      <c r="D6" s="2">
        <v>35654.81</v>
      </c>
      <c r="E6" s="2">
        <v>2750.33</v>
      </c>
      <c r="F6" s="2">
        <v>4.7</v>
      </c>
      <c r="G6" s="5" t="s">
        <v>21</v>
      </c>
    </row>
    <row r="7" spans="1:33" ht="26.4" x14ac:dyDescent="0.3">
      <c r="A7" s="4">
        <v>106</v>
      </c>
      <c r="B7" s="5" t="s">
        <v>22</v>
      </c>
      <c r="C7" s="4" t="s">
        <v>23</v>
      </c>
      <c r="D7" s="2">
        <v>27489.67</v>
      </c>
      <c r="E7" s="2">
        <v>1499.99</v>
      </c>
      <c r="F7" s="2">
        <v>3.8</v>
      </c>
      <c r="G7" s="5" t="s">
        <v>24</v>
      </c>
    </row>
    <row r="8" spans="1:33" ht="26.4" x14ac:dyDescent="0.3">
      <c r="A8" s="4">
        <v>107</v>
      </c>
      <c r="B8" s="5" t="s">
        <v>25</v>
      </c>
      <c r="C8" s="4" t="s">
        <v>26</v>
      </c>
      <c r="D8" s="2">
        <v>38250.54</v>
      </c>
      <c r="E8" s="2">
        <v>3200.1</v>
      </c>
      <c r="F8" s="2">
        <v>4.5</v>
      </c>
      <c r="G8" s="5" t="s">
        <v>27</v>
      </c>
    </row>
    <row r="9" spans="1:33" ht="26.4" x14ac:dyDescent="0.3">
      <c r="A9" s="4">
        <v>108</v>
      </c>
      <c r="B9" s="5" t="s">
        <v>28</v>
      </c>
      <c r="C9" s="4" t="s">
        <v>29</v>
      </c>
      <c r="D9" s="2">
        <v>24199.18</v>
      </c>
      <c r="E9" s="2">
        <v>1100.55</v>
      </c>
      <c r="F9" s="2">
        <v>3.6</v>
      </c>
      <c r="G9" s="5" t="s">
        <v>30</v>
      </c>
    </row>
    <row r="10" spans="1:33" ht="26.4" x14ac:dyDescent="0.3">
      <c r="A10" s="4">
        <v>109</v>
      </c>
      <c r="B10" s="5" t="s">
        <v>31</v>
      </c>
      <c r="C10" s="4" t="s">
        <v>32</v>
      </c>
      <c r="D10" s="2">
        <v>46875.95</v>
      </c>
      <c r="E10" s="2">
        <v>4125.8</v>
      </c>
      <c r="F10" s="2">
        <v>4.9000000000000004</v>
      </c>
      <c r="G10" s="5" t="s">
        <v>33</v>
      </c>
    </row>
    <row r="11" spans="1:33" ht="28.8" x14ac:dyDescent="0.3">
      <c r="A11" s="4">
        <v>110</v>
      </c>
      <c r="B11" s="5" t="s">
        <v>34</v>
      </c>
      <c r="C11" s="4" t="s">
        <v>35</v>
      </c>
      <c r="D11" s="2">
        <v>21549.42</v>
      </c>
      <c r="E11" s="2">
        <v>999.49</v>
      </c>
      <c r="F11" s="2">
        <v>3.5</v>
      </c>
      <c r="G11" s="5" t="s">
        <v>36</v>
      </c>
    </row>
    <row r="16" spans="1:33" x14ac:dyDescent="0.3">
      <c r="A16" t="s">
        <v>37</v>
      </c>
      <c r="B16" t="s">
        <v>38</v>
      </c>
      <c r="C16" t="s">
        <v>39</v>
      </c>
      <c r="D16" t="s">
        <v>40</v>
      </c>
      <c r="F16">
        <v>1</v>
      </c>
      <c r="G16" t="s">
        <v>41</v>
      </c>
      <c r="H16" cm="1">
        <f t="array" ref="H16:H25">Monthly_Salary</f>
        <v>32456.78</v>
      </c>
      <c r="I16" cm="1">
        <f t="array" ref="I16:I25">ROUND(H16:H25,0)</f>
        <v>32457</v>
      </c>
      <c r="J16" t="str">
        <f ca="1">_xlfn.FORMULATEXT(I16)</f>
        <v>=ROUND(H16:H25,0)</v>
      </c>
      <c r="M16">
        <v>3</v>
      </c>
      <c r="N16" t="s">
        <v>43</v>
      </c>
      <c r="Q16" cm="1">
        <f t="array" ref="Q16:Q25">Monthly_Salary</f>
        <v>32456.78</v>
      </c>
      <c r="R16">
        <f>ROUND(Q16,-2)</f>
        <v>32500</v>
      </c>
      <c r="S16" t="str">
        <f ca="1">_xlfn.FORMULATEXT(R16)</f>
        <v>=ROUND(Q16,-2)</v>
      </c>
      <c r="W16">
        <v>5</v>
      </c>
      <c r="X16" t="s">
        <v>45</v>
      </c>
      <c r="AC16" cm="1">
        <f t="array" ref="AC16:AC25">Monthly_Salary</f>
        <v>32456.78</v>
      </c>
      <c r="AD16" cm="1">
        <f t="array" ref="AD16:AD25">Bonus</f>
        <v>3456.49</v>
      </c>
      <c r="AE16">
        <f>SUM(AC16,AD16)</f>
        <v>35913.269999999997</v>
      </c>
      <c r="AF16">
        <f>ROUND(AD16+AE16,2)</f>
        <v>39369.760000000002</v>
      </c>
      <c r="AG16" t="str">
        <f ca="1">_xlfn.FORMULATEXT(AE16)</f>
        <v>=SUM(AC16,AD16)</v>
      </c>
    </row>
    <row r="17" spans="6:33" x14ac:dyDescent="0.3">
      <c r="H17">
        <v>28999.35</v>
      </c>
      <c r="I17">
        <v>28999</v>
      </c>
      <c r="Q17">
        <v>28999.35</v>
      </c>
      <c r="R17">
        <f t="shared" ref="R17:R25" si="0">ROUND(Q17,-2)</f>
        <v>29000</v>
      </c>
      <c r="AC17">
        <v>28999.35</v>
      </c>
      <c r="AD17">
        <v>1899.6</v>
      </c>
      <c r="AE17">
        <f t="shared" ref="AE17:AE25" si="1">SUM(AC17,AD17)</f>
        <v>30898.949999999997</v>
      </c>
      <c r="AF17">
        <f t="shared" ref="AE17:AF25" si="2">ROUND(AD17+AE17,2)</f>
        <v>32798.550000000003</v>
      </c>
      <c r="AG17" t="str">
        <f ca="1">_xlfn.FORMULATEXT(AF16)</f>
        <v>=ROUND(AD16+AE16,2)</v>
      </c>
    </row>
    <row r="18" spans="6:33" x14ac:dyDescent="0.3">
      <c r="H18">
        <v>41789.919999999998</v>
      </c>
      <c r="I18">
        <v>41790</v>
      </c>
      <c r="Q18">
        <v>41789.919999999998</v>
      </c>
      <c r="R18">
        <f t="shared" si="0"/>
        <v>41800</v>
      </c>
      <c r="AC18">
        <v>41789.919999999998</v>
      </c>
      <c r="AD18">
        <v>2599.1999999999998</v>
      </c>
      <c r="AE18">
        <f t="shared" si="1"/>
        <v>44389.119999999995</v>
      </c>
      <c r="AF18">
        <f t="shared" si="2"/>
        <v>46988.32</v>
      </c>
    </row>
    <row r="19" spans="6:33" x14ac:dyDescent="0.3">
      <c r="H19">
        <v>19876.48</v>
      </c>
      <c r="I19">
        <v>19876</v>
      </c>
      <c r="Q19">
        <v>19876.48</v>
      </c>
      <c r="R19">
        <f t="shared" si="0"/>
        <v>19900</v>
      </c>
      <c r="AC19">
        <v>19876.48</v>
      </c>
      <c r="AD19">
        <v>950.75</v>
      </c>
      <c r="AE19">
        <f t="shared" si="1"/>
        <v>20827.23</v>
      </c>
      <c r="AF19">
        <f t="shared" si="2"/>
        <v>21777.98</v>
      </c>
    </row>
    <row r="20" spans="6:33" x14ac:dyDescent="0.3">
      <c r="H20">
        <v>35654.81</v>
      </c>
      <c r="I20">
        <v>35655</v>
      </c>
      <c r="Q20">
        <v>35654.81</v>
      </c>
      <c r="R20">
        <f t="shared" si="0"/>
        <v>35700</v>
      </c>
      <c r="AC20">
        <v>35654.81</v>
      </c>
      <c r="AD20">
        <v>2750.33</v>
      </c>
      <c r="AE20">
        <f t="shared" si="1"/>
        <v>38405.14</v>
      </c>
      <c r="AF20">
        <f t="shared" si="2"/>
        <v>41155.47</v>
      </c>
    </row>
    <row r="21" spans="6:33" x14ac:dyDescent="0.3">
      <c r="H21">
        <v>27489.67</v>
      </c>
      <c r="I21">
        <v>27490</v>
      </c>
      <c r="Q21">
        <v>27489.67</v>
      </c>
      <c r="R21">
        <f t="shared" si="0"/>
        <v>27500</v>
      </c>
      <c r="AC21">
        <v>27489.67</v>
      </c>
      <c r="AD21">
        <v>1499.99</v>
      </c>
      <c r="AE21">
        <f t="shared" si="1"/>
        <v>28989.66</v>
      </c>
      <c r="AF21">
        <f t="shared" si="2"/>
        <v>30489.65</v>
      </c>
    </row>
    <row r="22" spans="6:33" x14ac:dyDescent="0.3">
      <c r="H22">
        <v>38250.54</v>
      </c>
      <c r="I22">
        <v>38251</v>
      </c>
      <c r="Q22">
        <v>38250.54</v>
      </c>
      <c r="R22">
        <f t="shared" si="0"/>
        <v>38300</v>
      </c>
      <c r="AC22">
        <v>38250.54</v>
      </c>
      <c r="AD22">
        <v>3200.1</v>
      </c>
      <c r="AE22">
        <f t="shared" si="1"/>
        <v>41450.639999999999</v>
      </c>
      <c r="AF22">
        <f t="shared" si="2"/>
        <v>44650.74</v>
      </c>
    </row>
    <row r="23" spans="6:33" x14ac:dyDescent="0.3">
      <c r="H23">
        <v>24199.18</v>
      </c>
      <c r="I23">
        <v>24199</v>
      </c>
      <c r="Q23">
        <v>24199.18</v>
      </c>
      <c r="R23">
        <f t="shared" si="0"/>
        <v>24200</v>
      </c>
      <c r="AC23">
        <v>24199.18</v>
      </c>
      <c r="AD23">
        <v>1100.55</v>
      </c>
      <c r="AE23">
        <f t="shared" si="1"/>
        <v>25299.73</v>
      </c>
      <c r="AF23">
        <f t="shared" si="2"/>
        <v>26400.28</v>
      </c>
    </row>
    <row r="24" spans="6:33" x14ac:dyDescent="0.3">
      <c r="H24">
        <v>46875.95</v>
      </c>
      <c r="I24">
        <v>46876</v>
      </c>
      <c r="Q24">
        <v>46875.95</v>
      </c>
      <c r="R24">
        <f t="shared" si="0"/>
        <v>46900</v>
      </c>
      <c r="AC24">
        <v>46875.95</v>
      </c>
      <c r="AD24">
        <v>4125.8</v>
      </c>
      <c r="AE24">
        <f t="shared" si="1"/>
        <v>51001.75</v>
      </c>
      <c r="AF24">
        <f t="shared" si="2"/>
        <v>55127.55</v>
      </c>
    </row>
    <row r="25" spans="6:33" x14ac:dyDescent="0.3">
      <c r="H25">
        <v>21549.42</v>
      </c>
      <c r="I25">
        <v>21549</v>
      </c>
      <c r="Q25">
        <v>21549.42</v>
      </c>
      <c r="R25">
        <f t="shared" si="0"/>
        <v>21500</v>
      </c>
      <c r="AC25">
        <v>21549.42</v>
      </c>
      <c r="AD25">
        <v>999.49</v>
      </c>
      <c r="AE25">
        <f t="shared" si="1"/>
        <v>22548.91</v>
      </c>
      <c r="AF25">
        <f t="shared" si="2"/>
        <v>23548.400000000001</v>
      </c>
    </row>
    <row r="27" spans="6:33" x14ac:dyDescent="0.3">
      <c r="F27">
        <v>2</v>
      </c>
      <c r="G27" t="s">
        <v>42</v>
      </c>
      <c r="H27" cm="1">
        <f t="array" ref="H27:H36">Bonus</f>
        <v>3456.49</v>
      </c>
      <c r="I27">
        <f>ROUND(H27,1)</f>
        <v>3456.5</v>
      </c>
      <c r="J27" t="str">
        <f ca="1">_xlfn.FORMULATEXT(I27)</f>
        <v>=ROUND(H27,1)</v>
      </c>
      <c r="M27">
        <v>4</v>
      </c>
      <c r="N27" t="s">
        <v>44</v>
      </c>
      <c r="Q27" cm="1">
        <f t="array" ref="Q27:Q36">Bonus</f>
        <v>3456.49</v>
      </c>
      <c r="R27">
        <f>ROUND(Q27,-1)</f>
        <v>3460</v>
      </c>
      <c r="S27" t="str">
        <f ca="1">_xlfn.FORMULATEXT(R27)</f>
        <v>=ROUND(Q27,-1)</v>
      </c>
      <c r="W27">
        <v>5</v>
      </c>
      <c r="X27" t="s">
        <v>53</v>
      </c>
      <c r="AC27" cm="1">
        <f t="array" ref="AC27:AC36">Monthly_Salary</f>
        <v>32456.78</v>
      </c>
      <c r="AD27" cm="1">
        <f t="array" ref="AD27:AD36">Bonus</f>
        <v>3456.49</v>
      </c>
      <c r="AE27">
        <f>SUM(AC27,AD27)</f>
        <v>35913.269999999997</v>
      </c>
      <c r="AF27">
        <f>CEILING(AE27,2)</f>
        <v>35914</v>
      </c>
      <c r="AG27" t="str">
        <f ca="1">_xlfn.FORMULATEXT(AE27)</f>
        <v>=SUM(AC27,AD27)</v>
      </c>
    </row>
    <row r="28" spans="6:33" x14ac:dyDescent="0.3">
      <c r="H28">
        <v>1899.6</v>
      </c>
      <c r="I28">
        <f t="shared" ref="I28:I36" si="3">ROUND(H28,1)</f>
        <v>1899.6</v>
      </c>
      <c r="Q28">
        <v>1899.6</v>
      </c>
      <c r="R28">
        <f t="shared" ref="R28:R36" si="4">ROUND(Q28,-1)</f>
        <v>1900</v>
      </c>
      <c r="AC28">
        <v>28999.35</v>
      </c>
      <c r="AD28">
        <v>1899.6</v>
      </c>
      <c r="AE28">
        <f t="shared" ref="AE28:AE36" si="5">SUM(AC28,AD28)</f>
        <v>30898.949999999997</v>
      </c>
      <c r="AF28">
        <f t="shared" ref="AF28:AF36" si="6">CEILING(AE28,2)</f>
        <v>30900</v>
      </c>
      <c r="AG28" t="str">
        <f ca="1">_xlfn.FORMULATEXT(AF27)</f>
        <v>=CEILING(AE27,2)</v>
      </c>
    </row>
    <row r="29" spans="6:33" x14ac:dyDescent="0.3">
      <c r="H29">
        <v>2599.1999999999998</v>
      </c>
      <c r="I29">
        <f t="shared" si="3"/>
        <v>2599.1999999999998</v>
      </c>
      <c r="Q29">
        <v>2599.1999999999998</v>
      </c>
      <c r="R29">
        <f t="shared" si="4"/>
        <v>2600</v>
      </c>
      <c r="AC29">
        <v>41789.919999999998</v>
      </c>
      <c r="AD29">
        <v>2599.1999999999998</v>
      </c>
      <c r="AE29">
        <f t="shared" si="5"/>
        <v>44389.119999999995</v>
      </c>
      <c r="AF29">
        <f t="shared" si="6"/>
        <v>44390</v>
      </c>
    </row>
    <row r="30" spans="6:33" x14ac:dyDescent="0.3">
      <c r="H30">
        <v>950.75</v>
      </c>
      <c r="I30">
        <f t="shared" si="3"/>
        <v>950.8</v>
      </c>
      <c r="Q30">
        <v>950.75</v>
      </c>
      <c r="R30">
        <f t="shared" si="4"/>
        <v>950</v>
      </c>
      <c r="AC30">
        <v>19876.48</v>
      </c>
      <c r="AD30">
        <v>950.75</v>
      </c>
      <c r="AE30">
        <f t="shared" si="5"/>
        <v>20827.23</v>
      </c>
      <c r="AF30">
        <f t="shared" si="6"/>
        <v>20828</v>
      </c>
    </row>
    <row r="31" spans="6:33" x14ac:dyDescent="0.3">
      <c r="H31">
        <v>2750.33</v>
      </c>
      <c r="I31">
        <f t="shared" si="3"/>
        <v>2750.3</v>
      </c>
      <c r="Q31">
        <v>2750.33</v>
      </c>
      <c r="R31">
        <f t="shared" si="4"/>
        <v>2750</v>
      </c>
      <c r="AC31">
        <v>35654.81</v>
      </c>
      <c r="AD31">
        <v>2750.33</v>
      </c>
      <c r="AE31">
        <f t="shared" si="5"/>
        <v>38405.14</v>
      </c>
      <c r="AF31">
        <f t="shared" si="6"/>
        <v>38406</v>
      </c>
    </row>
    <row r="32" spans="6:33" x14ac:dyDescent="0.3">
      <c r="H32">
        <v>1499.99</v>
      </c>
      <c r="I32">
        <f t="shared" si="3"/>
        <v>1500</v>
      </c>
      <c r="Q32">
        <v>1499.99</v>
      </c>
      <c r="R32">
        <f t="shared" si="4"/>
        <v>1500</v>
      </c>
      <c r="AC32">
        <v>27489.67</v>
      </c>
      <c r="AD32">
        <v>1499.99</v>
      </c>
      <c r="AE32">
        <f t="shared" si="5"/>
        <v>28989.66</v>
      </c>
      <c r="AF32">
        <f t="shared" si="6"/>
        <v>28990</v>
      </c>
    </row>
    <row r="33" spans="1:32" x14ac:dyDescent="0.3">
      <c r="H33">
        <v>3200.1</v>
      </c>
      <c r="I33">
        <f t="shared" si="3"/>
        <v>3200.1</v>
      </c>
      <c r="Q33">
        <v>3200.1</v>
      </c>
      <c r="R33">
        <f t="shared" si="4"/>
        <v>3200</v>
      </c>
      <c r="AC33">
        <v>38250.54</v>
      </c>
      <c r="AD33">
        <v>3200.1</v>
      </c>
      <c r="AE33">
        <f t="shared" si="5"/>
        <v>41450.639999999999</v>
      </c>
      <c r="AF33">
        <f t="shared" si="6"/>
        <v>41452</v>
      </c>
    </row>
    <row r="34" spans="1:32" x14ac:dyDescent="0.3">
      <c r="H34">
        <v>1100.55</v>
      </c>
      <c r="I34">
        <f t="shared" si="3"/>
        <v>1100.5999999999999</v>
      </c>
      <c r="Q34">
        <v>1100.55</v>
      </c>
      <c r="R34">
        <f t="shared" si="4"/>
        <v>1100</v>
      </c>
      <c r="AC34">
        <v>24199.18</v>
      </c>
      <c r="AD34">
        <v>1100.55</v>
      </c>
      <c r="AE34">
        <f t="shared" si="5"/>
        <v>25299.73</v>
      </c>
      <c r="AF34">
        <f t="shared" si="6"/>
        <v>25300</v>
      </c>
    </row>
    <row r="35" spans="1:32" x14ac:dyDescent="0.3">
      <c r="H35">
        <v>4125.8</v>
      </c>
      <c r="I35">
        <f t="shared" si="3"/>
        <v>4125.8</v>
      </c>
      <c r="Q35">
        <v>4125.8</v>
      </c>
      <c r="R35">
        <f t="shared" si="4"/>
        <v>4130</v>
      </c>
      <c r="AC35">
        <v>46875.95</v>
      </c>
      <c r="AD35">
        <v>4125.8</v>
      </c>
      <c r="AE35">
        <f t="shared" si="5"/>
        <v>51001.75</v>
      </c>
      <c r="AF35">
        <f t="shared" si="6"/>
        <v>51002</v>
      </c>
    </row>
    <row r="36" spans="1:32" x14ac:dyDescent="0.3">
      <c r="H36">
        <v>999.49</v>
      </c>
      <c r="I36">
        <f t="shared" si="3"/>
        <v>999.5</v>
      </c>
      <c r="Q36">
        <v>999.49</v>
      </c>
      <c r="R36">
        <f t="shared" si="4"/>
        <v>1000</v>
      </c>
      <c r="AC36">
        <v>21549.42</v>
      </c>
      <c r="AD36">
        <v>999.49</v>
      </c>
      <c r="AE36">
        <f t="shared" si="5"/>
        <v>22548.91</v>
      </c>
      <c r="AF36">
        <f t="shared" si="6"/>
        <v>22550</v>
      </c>
    </row>
    <row r="38" spans="1:32" x14ac:dyDescent="0.3">
      <c r="A38" t="s">
        <v>46</v>
      </c>
      <c r="B38" t="s">
        <v>38</v>
      </c>
      <c r="C38" t="s">
        <v>47</v>
      </c>
      <c r="D38" t="s">
        <v>48</v>
      </c>
      <c r="F38">
        <v>1</v>
      </c>
      <c r="G38" t="s">
        <v>49</v>
      </c>
      <c r="H38" cm="1">
        <f t="array" ref="H38:H47">Monthly_Salary</f>
        <v>32456.78</v>
      </c>
      <c r="I38">
        <f>CEILING(H38,1000)</f>
        <v>33000</v>
      </c>
      <c r="J38" t="str">
        <f ca="1">_xlfn.FORMULATEXT(I38)</f>
        <v>=CEILING(H38,1000)</v>
      </c>
      <c r="M38">
        <v>3</v>
      </c>
      <c r="N38" t="s">
        <v>51</v>
      </c>
      <c r="Q38" cm="1">
        <f t="array" ref="Q38:Q47">Monthly_Salary</f>
        <v>32456.78</v>
      </c>
      <c r="R38">
        <f>CEILING(Q38,500)</f>
        <v>32500</v>
      </c>
      <c r="S38" t="str">
        <f ca="1">_xlfn.FORMULATEXT(R38)</f>
        <v>=CEILING(Q38,500)</v>
      </c>
    </row>
    <row r="39" spans="1:32" x14ac:dyDescent="0.3">
      <c r="H39">
        <v>28999.35</v>
      </c>
      <c r="I39">
        <f t="shared" ref="I39:I47" si="7">CEILING(H39,1000)</f>
        <v>29000</v>
      </c>
      <c r="Q39">
        <v>28999.35</v>
      </c>
      <c r="R39">
        <f t="shared" ref="R39:R47" si="8">CEILING(Q39,500)</f>
        <v>29000</v>
      </c>
    </row>
    <row r="40" spans="1:32" x14ac:dyDescent="0.3">
      <c r="H40">
        <v>41789.919999999998</v>
      </c>
      <c r="I40">
        <f t="shared" si="7"/>
        <v>42000</v>
      </c>
      <c r="Q40">
        <v>41789.919999999998</v>
      </c>
      <c r="R40">
        <f t="shared" si="8"/>
        <v>42000</v>
      </c>
    </row>
    <row r="41" spans="1:32" x14ac:dyDescent="0.3">
      <c r="H41">
        <v>19876.48</v>
      </c>
      <c r="I41">
        <f t="shared" si="7"/>
        <v>20000</v>
      </c>
      <c r="Q41">
        <v>19876.48</v>
      </c>
      <c r="R41">
        <f t="shared" si="8"/>
        <v>20000</v>
      </c>
    </row>
    <row r="42" spans="1:32" x14ac:dyDescent="0.3">
      <c r="H42">
        <v>35654.81</v>
      </c>
      <c r="I42">
        <f t="shared" si="7"/>
        <v>36000</v>
      </c>
      <c r="Q42">
        <v>35654.81</v>
      </c>
      <c r="R42">
        <f t="shared" si="8"/>
        <v>36000</v>
      </c>
    </row>
    <row r="43" spans="1:32" x14ac:dyDescent="0.3">
      <c r="H43">
        <v>27489.67</v>
      </c>
      <c r="I43">
        <f t="shared" si="7"/>
        <v>28000</v>
      </c>
      <c r="Q43">
        <v>27489.67</v>
      </c>
      <c r="R43">
        <f t="shared" si="8"/>
        <v>27500</v>
      </c>
    </row>
    <row r="44" spans="1:32" x14ac:dyDescent="0.3">
      <c r="H44">
        <v>38250.54</v>
      </c>
      <c r="I44">
        <f t="shared" si="7"/>
        <v>39000</v>
      </c>
      <c r="Q44">
        <v>38250.54</v>
      </c>
      <c r="R44">
        <f t="shared" si="8"/>
        <v>38500</v>
      </c>
    </row>
    <row r="45" spans="1:32" x14ac:dyDescent="0.3">
      <c r="H45">
        <v>24199.18</v>
      </c>
      <c r="I45">
        <f t="shared" si="7"/>
        <v>25000</v>
      </c>
      <c r="Q45">
        <v>24199.18</v>
      </c>
      <c r="R45">
        <f t="shared" si="8"/>
        <v>24500</v>
      </c>
    </row>
    <row r="46" spans="1:32" x14ac:dyDescent="0.3">
      <c r="H46">
        <v>46875.95</v>
      </c>
      <c r="I46">
        <f t="shared" si="7"/>
        <v>47000</v>
      </c>
      <c r="Q46">
        <v>46875.95</v>
      </c>
      <c r="R46">
        <f t="shared" si="8"/>
        <v>47000</v>
      </c>
    </row>
    <row r="47" spans="1:32" x14ac:dyDescent="0.3">
      <c r="H47">
        <v>21549.42</v>
      </c>
      <c r="I47">
        <f t="shared" si="7"/>
        <v>22000</v>
      </c>
      <c r="Q47">
        <v>21549.42</v>
      </c>
      <c r="R47">
        <f t="shared" si="8"/>
        <v>22000</v>
      </c>
    </row>
    <row r="49" spans="1:33" x14ac:dyDescent="0.3">
      <c r="F49">
        <v>2</v>
      </c>
      <c r="G49" t="s">
        <v>50</v>
      </c>
      <c r="H49" cm="1">
        <f t="array" ref="H49:H58">Bonus</f>
        <v>3456.49</v>
      </c>
      <c r="I49">
        <f>CEILING(H49,100)</f>
        <v>3500</v>
      </c>
      <c r="J49" t="str">
        <f ca="1">_xlfn.FORMULATEXT(I49)</f>
        <v>=CEILING(H49,100)</v>
      </c>
      <c r="M49">
        <v>4</v>
      </c>
      <c r="N49" t="s">
        <v>52</v>
      </c>
      <c r="Q49" cm="1">
        <f t="array" ref="Q49:Q58">Rating</f>
        <v>4.8</v>
      </c>
      <c r="R49">
        <f>CEILING(Q49,1)</f>
        <v>5</v>
      </c>
      <c r="S49" t="str">
        <f ca="1">_xlfn.FORMULATEXT(R49)</f>
        <v>=CEILING(Q49,1)</v>
      </c>
    </row>
    <row r="50" spans="1:33" x14ac:dyDescent="0.3">
      <c r="H50">
        <v>1899.6</v>
      </c>
      <c r="I50">
        <f t="shared" ref="I50:I58" si="9">CEILING(H50,100)</f>
        <v>1900</v>
      </c>
      <c r="Q50">
        <v>3.9</v>
      </c>
      <c r="R50">
        <f t="shared" ref="R50:R58" si="10">CEILING(Q50,1)</f>
        <v>4</v>
      </c>
    </row>
    <row r="51" spans="1:33" x14ac:dyDescent="0.3">
      <c r="H51">
        <v>2599.1999999999998</v>
      </c>
      <c r="I51">
        <f t="shared" si="9"/>
        <v>2600</v>
      </c>
      <c r="Q51">
        <v>4.2</v>
      </c>
      <c r="R51">
        <f t="shared" si="10"/>
        <v>5</v>
      </c>
    </row>
    <row r="52" spans="1:33" x14ac:dyDescent="0.3">
      <c r="H52">
        <v>950.75</v>
      </c>
      <c r="I52">
        <f t="shared" si="9"/>
        <v>1000</v>
      </c>
      <c r="Q52">
        <v>3.4</v>
      </c>
      <c r="R52">
        <f t="shared" si="10"/>
        <v>4</v>
      </c>
    </row>
    <row r="53" spans="1:33" x14ac:dyDescent="0.3">
      <c r="H53">
        <v>2750.33</v>
      </c>
      <c r="I53">
        <f t="shared" si="9"/>
        <v>2800</v>
      </c>
      <c r="Q53">
        <v>4.7</v>
      </c>
      <c r="R53">
        <f t="shared" si="10"/>
        <v>5</v>
      </c>
    </row>
    <row r="54" spans="1:33" x14ac:dyDescent="0.3">
      <c r="H54">
        <v>1499.99</v>
      </c>
      <c r="I54">
        <f t="shared" si="9"/>
        <v>1500</v>
      </c>
      <c r="Q54">
        <v>3.8</v>
      </c>
      <c r="R54">
        <f t="shared" si="10"/>
        <v>4</v>
      </c>
    </row>
    <row r="55" spans="1:33" x14ac:dyDescent="0.3">
      <c r="H55">
        <v>3200.1</v>
      </c>
      <c r="I55">
        <f t="shared" si="9"/>
        <v>3300</v>
      </c>
      <c r="Q55">
        <v>4.5</v>
      </c>
      <c r="R55">
        <f t="shared" si="10"/>
        <v>5</v>
      </c>
    </row>
    <row r="56" spans="1:33" x14ac:dyDescent="0.3">
      <c r="H56">
        <v>1100.55</v>
      </c>
      <c r="I56">
        <f t="shared" si="9"/>
        <v>1200</v>
      </c>
      <c r="Q56">
        <v>3.6</v>
      </c>
      <c r="R56">
        <f t="shared" si="10"/>
        <v>4</v>
      </c>
    </row>
    <row r="57" spans="1:33" x14ac:dyDescent="0.3">
      <c r="H57">
        <v>4125.8</v>
      </c>
      <c r="I57">
        <f t="shared" si="9"/>
        <v>4200</v>
      </c>
      <c r="Q57">
        <v>4.9000000000000004</v>
      </c>
      <c r="R57">
        <f t="shared" si="10"/>
        <v>5</v>
      </c>
    </row>
    <row r="58" spans="1:33" x14ac:dyDescent="0.3">
      <c r="H58">
        <v>999.49</v>
      </c>
      <c r="I58">
        <f t="shared" si="9"/>
        <v>1000</v>
      </c>
      <c r="Q58">
        <v>3.5</v>
      </c>
      <c r="R58">
        <f t="shared" si="10"/>
        <v>4</v>
      </c>
    </row>
    <row r="60" spans="1:33" x14ac:dyDescent="0.3">
      <c r="A60" t="s">
        <v>46</v>
      </c>
      <c r="B60" t="s">
        <v>38</v>
      </c>
      <c r="C60" t="s">
        <v>54</v>
      </c>
      <c r="D60" t="s">
        <v>40</v>
      </c>
      <c r="F60">
        <v>1</v>
      </c>
      <c r="G60" t="s">
        <v>55</v>
      </c>
      <c r="H60" cm="1">
        <f t="array" ref="H60:H69">Monthly_Salary</f>
        <v>32456.78</v>
      </c>
      <c r="I60">
        <f>FLOOR(H60,1000)</f>
        <v>32000</v>
      </c>
      <c r="J60" t="str">
        <f ca="1">_xlfn.FORMULATEXT(I60)</f>
        <v>=FLOOR(H60,1000)</v>
      </c>
      <c r="M60">
        <v>3</v>
      </c>
      <c r="N60" t="s">
        <v>57</v>
      </c>
      <c r="Q60" cm="1">
        <f t="array" ref="Q60:Q69">Monthly_Salary</f>
        <v>32456.78</v>
      </c>
      <c r="R60">
        <f>FLOOR(Q60,500)</f>
        <v>32000</v>
      </c>
      <c r="S60" t="str">
        <f ca="1">_xlfn.FORMULATEXT(R60)</f>
        <v>=FLOOR(Q60,500)</v>
      </c>
      <c r="W60">
        <v>5</v>
      </c>
      <c r="X60" t="s">
        <v>59</v>
      </c>
      <c r="AC60" cm="1">
        <f t="array" ref="AC60:AC69">Monthly_Salary</f>
        <v>32456.78</v>
      </c>
      <c r="AD60" cm="1">
        <f t="array" ref="AD60:AD69">Bonus</f>
        <v>3456.49</v>
      </c>
      <c r="AE60">
        <f>SUM(AC60,AD60)</f>
        <v>35913.269999999997</v>
      </c>
      <c r="AF60">
        <f>FLOOR(AE60,500)</f>
        <v>35500</v>
      </c>
      <c r="AG60" t="str">
        <f ca="1">_xlfn.FORMULATEXT(AE60)</f>
        <v>=SUM(AC60,AD60)</v>
      </c>
    </row>
    <row r="61" spans="1:33" x14ac:dyDescent="0.3">
      <c r="H61">
        <v>28999.35</v>
      </c>
      <c r="I61">
        <f t="shared" ref="I61:I69" si="11">FLOOR(H61,1000)</f>
        <v>28000</v>
      </c>
      <c r="Q61">
        <v>28999.35</v>
      </c>
      <c r="R61">
        <f t="shared" ref="R61:R69" si="12">FLOOR(Q61,500)</f>
        <v>28500</v>
      </c>
      <c r="AC61">
        <v>28999.35</v>
      </c>
      <c r="AD61">
        <v>1899.6</v>
      </c>
      <c r="AE61">
        <f t="shared" ref="AE61:AE69" si="13">SUM(AC61,AD61)</f>
        <v>30898.949999999997</v>
      </c>
      <c r="AF61">
        <f t="shared" ref="AF61:AF69" si="14">FLOOR(AE61,500)</f>
        <v>30500</v>
      </c>
      <c r="AG61" t="str">
        <f ca="1">_xlfn.FORMULATEXT(AF60)</f>
        <v>=FLOOR(AE60,500)</v>
      </c>
    </row>
    <row r="62" spans="1:33" x14ac:dyDescent="0.3">
      <c r="H62">
        <v>41789.919999999998</v>
      </c>
      <c r="I62">
        <f t="shared" si="11"/>
        <v>41000</v>
      </c>
      <c r="Q62">
        <v>41789.919999999998</v>
      </c>
      <c r="R62">
        <f t="shared" si="12"/>
        <v>41500</v>
      </c>
      <c r="AC62">
        <v>41789.919999999998</v>
      </c>
      <c r="AD62">
        <v>2599.1999999999998</v>
      </c>
      <c r="AE62">
        <f t="shared" si="13"/>
        <v>44389.119999999995</v>
      </c>
      <c r="AF62">
        <f t="shared" si="14"/>
        <v>44000</v>
      </c>
    </row>
    <row r="63" spans="1:33" x14ac:dyDescent="0.3">
      <c r="H63">
        <v>19876.48</v>
      </c>
      <c r="I63">
        <f t="shared" si="11"/>
        <v>19000</v>
      </c>
      <c r="Q63">
        <v>19876.48</v>
      </c>
      <c r="R63">
        <f t="shared" si="12"/>
        <v>19500</v>
      </c>
      <c r="AC63">
        <v>19876.48</v>
      </c>
      <c r="AD63">
        <v>950.75</v>
      </c>
      <c r="AE63">
        <f t="shared" si="13"/>
        <v>20827.23</v>
      </c>
      <c r="AF63">
        <f t="shared" si="14"/>
        <v>20500</v>
      </c>
    </row>
    <row r="64" spans="1:33" x14ac:dyDescent="0.3">
      <c r="H64">
        <v>35654.81</v>
      </c>
      <c r="I64">
        <f t="shared" si="11"/>
        <v>35000</v>
      </c>
      <c r="Q64">
        <v>35654.81</v>
      </c>
      <c r="R64">
        <f t="shared" si="12"/>
        <v>35500</v>
      </c>
      <c r="AC64">
        <v>35654.81</v>
      </c>
      <c r="AD64">
        <v>2750.33</v>
      </c>
      <c r="AE64">
        <f t="shared" si="13"/>
        <v>38405.14</v>
      </c>
      <c r="AF64">
        <f t="shared" si="14"/>
        <v>38000</v>
      </c>
    </row>
    <row r="65" spans="6:32" x14ac:dyDescent="0.3">
      <c r="H65">
        <v>27489.67</v>
      </c>
      <c r="I65">
        <f t="shared" si="11"/>
        <v>27000</v>
      </c>
      <c r="Q65">
        <v>27489.67</v>
      </c>
      <c r="R65">
        <f t="shared" si="12"/>
        <v>27000</v>
      </c>
      <c r="AC65">
        <v>27489.67</v>
      </c>
      <c r="AD65">
        <v>1499.99</v>
      </c>
      <c r="AE65">
        <f t="shared" si="13"/>
        <v>28989.66</v>
      </c>
      <c r="AF65">
        <f t="shared" si="14"/>
        <v>28500</v>
      </c>
    </row>
    <row r="66" spans="6:32" x14ac:dyDescent="0.3">
      <c r="H66">
        <v>38250.54</v>
      </c>
      <c r="I66">
        <f t="shared" si="11"/>
        <v>38000</v>
      </c>
      <c r="Q66">
        <v>38250.54</v>
      </c>
      <c r="R66">
        <f t="shared" si="12"/>
        <v>38000</v>
      </c>
      <c r="AC66">
        <v>38250.54</v>
      </c>
      <c r="AD66">
        <v>3200.1</v>
      </c>
      <c r="AE66">
        <f t="shared" si="13"/>
        <v>41450.639999999999</v>
      </c>
      <c r="AF66">
        <f t="shared" si="14"/>
        <v>41000</v>
      </c>
    </row>
    <row r="67" spans="6:32" x14ac:dyDescent="0.3">
      <c r="H67">
        <v>24199.18</v>
      </c>
      <c r="I67">
        <f t="shared" si="11"/>
        <v>24000</v>
      </c>
      <c r="Q67">
        <v>24199.18</v>
      </c>
      <c r="R67">
        <f t="shared" si="12"/>
        <v>24000</v>
      </c>
      <c r="AC67">
        <v>24199.18</v>
      </c>
      <c r="AD67">
        <v>1100.55</v>
      </c>
      <c r="AE67">
        <f t="shared" si="13"/>
        <v>25299.73</v>
      </c>
      <c r="AF67">
        <f t="shared" si="14"/>
        <v>25000</v>
      </c>
    </row>
    <row r="68" spans="6:32" x14ac:dyDescent="0.3">
      <c r="H68">
        <v>46875.95</v>
      </c>
      <c r="I68">
        <f t="shared" si="11"/>
        <v>46000</v>
      </c>
      <c r="Q68">
        <v>46875.95</v>
      </c>
      <c r="R68">
        <f t="shared" si="12"/>
        <v>46500</v>
      </c>
      <c r="AC68">
        <v>46875.95</v>
      </c>
      <c r="AD68">
        <v>4125.8</v>
      </c>
      <c r="AE68">
        <f t="shared" si="13"/>
        <v>51001.75</v>
      </c>
      <c r="AF68">
        <f t="shared" si="14"/>
        <v>51000</v>
      </c>
    </row>
    <row r="69" spans="6:32" x14ac:dyDescent="0.3">
      <c r="H69">
        <v>21549.42</v>
      </c>
      <c r="I69">
        <f t="shared" si="11"/>
        <v>21000</v>
      </c>
      <c r="Q69">
        <v>21549.42</v>
      </c>
      <c r="R69">
        <f t="shared" si="12"/>
        <v>21500</v>
      </c>
      <c r="AC69">
        <v>21549.42</v>
      </c>
      <c r="AD69">
        <v>999.49</v>
      </c>
      <c r="AE69">
        <f t="shared" si="13"/>
        <v>22548.91</v>
      </c>
      <c r="AF69">
        <f t="shared" si="14"/>
        <v>22500</v>
      </c>
    </row>
    <row r="71" spans="6:32" x14ac:dyDescent="0.3">
      <c r="F71">
        <v>2</v>
      </c>
      <c r="G71" t="s">
        <v>56</v>
      </c>
      <c r="H71" cm="1">
        <f t="array" ref="H71:H80">Bonus</f>
        <v>3456.49</v>
      </c>
      <c r="I71">
        <f>FLOOR(H71,100)</f>
        <v>3400</v>
      </c>
      <c r="J71" t="str">
        <f ca="1">_xlfn.FORMULATEXT(I71)</f>
        <v>=FLOOR(H71,100)</v>
      </c>
      <c r="M71">
        <v>4</v>
      </c>
      <c r="N71" t="s">
        <v>58</v>
      </c>
      <c r="Q71" cm="1">
        <f t="array" ref="Q71:Q80">Rating</f>
        <v>4.8</v>
      </c>
      <c r="R71">
        <f>FLOOR(Q71,1)</f>
        <v>4</v>
      </c>
      <c r="S71" t="str">
        <f ca="1">_xlfn.FORMULATEXT(R71)</f>
        <v>=FLOOR(Q71,1)</v>
      </c>
    </row>
    <row r="72" spans="6:32" x14ac:dyDescent="0.3">
      <c r="H72">
        <v>1899.6</v>
      </c>
      <c r="I72">
        <f t="shared" ref="I72:I80" si="15">FLOOR(H72,100)</f>
        <v>1800</v>
      </c>
      <c r="Q72">
        <v>3.9</v>
      </c>
      <c r="R72">
        <f t="shared" ref="R72:R80" si="16">FLOOR(Q72,1)</f>
        <v>3</v>
      </c>
    </row>
    <row r="73" spans="6:32" x14ac:dyDescent="0.3">
      <c r="H73">
        <v>2599.1999999999998</v>
      </c>
      <c r="I73">
        <f t="shared" si="15"/>
        <v>2500</v>
      </c>
      <c r="Q73">
        <v>4.2</v>
      </c>
      <c r="R73">
        <f t="shared" si="16"/>
        <v>4</v>
      </c>
    </row>
    <row r="74" spans="6:32" x14ac:dyDescent="0.3">
      <c r="H74">
        <v>950.75</v>
      </c>
      <c r="I74">
        <f t="shared" si="15"/>
        <v>900</v>
      </c>
      <c r="Q74">
        <v>3.4</v>
      </c>
      <c r="R74">
        <f t="shared" si="16"/>
        <v>3</v>
      </c>
    </row>
    <row r="75" spans="6:32" x14ac:dyDescent="0.3">
      <c r="H75">
        <v>2750.33</v>
      </c>
      <c r="I75">
        <f t="shared" si="15"/>
        <v>2700</v>
      </c>
      <c r="Q75">
        <v>4.7</v>
      </c>
      <c r="R75">
        <f t="shared" si="16"/>
        <v>4</v>
      </c>
    </row>
    <row r="76" spans="6:32" x14ac:dyDescent="0.3">
      <c r="H76">
        <v>1499.99</v>
      </c>
      <c r="I76">
        <f t="shared" si="15"/>
        <v>1400</v>
      </c>
      <c r="Q76">
        <v>3.8</v>
      </c>
      <c r="R76">
        <f t="shared" si="16"/>
        <v>3</v>
      </c>
    </row>
    <row r="77" spans="6:32" x14ac:dyDescent="0.3">
      <c r="H77">
        <v>3200.1</v>
      </c>
      <c r="I77">
        <f t="shared" si="15"/>
        <v>3200</v>
      </c>
      <c r="Q77">
        <v>4.5</v>
      </c>
      <c r="R77">
        <f t="shared" si="16"/>
        <v>4</v>
      </c>
    </row>
    <row r="78" spans="6:32" x14ac:dyDescent="0.3">
      <c r="H78">
        <v>1100.55</v>
      </c>
      <c r="I78">
        <f t="shared" si="15"/>
        <v>1100</v>
      </c>
      <c r="Q78">
        <v>3.6</v>
      </c>
      <c r="R78">
        <f t="shared" si="16"/>
        <v>3</v>
      </c>
    </row>
    <row r="79" spans="6:32" x14ac:dyDescent="0.3">
      <c r="H79">
        <v>4125.8</v>
      </c>
      <c r="I79">
        <f t="shared" si="15"/>
        <v>4100</v>
      </c>
      <c r="Q79">
        <v>4.9000000000000004</v>
      </c>
      <c r="R79">
        <f t="shared" si="16"/>
        <v>4</v>
      </c>
    </row>
    <row r="80" spans="6:32" x14ac:dyDescent="0.3">
      <c r="H80">
        <v>999.49</v>
      </c>
      <c r="I80">
        <f t="shared" si="15"/>
        <v>900</v>
      </c>
      <c r="Q80">
        <v>3.5</v>
      </c>
      <c r="R80">
        <f t="shared" si="16"/>
        <v>3</v>
      </c>
    </row>
    <row r="82" spans="1:32" x14ac:dyDescent="0.3">
      <c r="A82" t="s">
        <v>46</v>
      </c>
      <c r="B82" t="s">
        <v>38</v>
      </c>
      <c r="C82" t="s">
        <v>60</v>
      </c>
      <c r="D82" t="s">
        <v>40</v>
      </c>
      <c r="F82">
        <v>1</v>
      </c>
      <c r="G82" t="s">
        <v>61</v>
      </c>
      <c r="H82" cm="1">
        <f t="array" ref="H82:H91">Monthly_Salary</f>
        <v>32456.78</v>
      </c>
      <c r="I82">
        <f>INT(H82)</f>
        <v>32456</v>
      </c>
      <c r="J82" t="str">
        <f ca="1">_xlfn.FORMULATEXT(I82)</f>
        <v>=INT(H82)</v>
      </c>
      <c r="M82">
        <v>3</v>
      </c>
      <c r="N82" t="s">
        <v>63</v>
      </c>
      <c r="Q82" cm="1">
        <f t="array" ref="Q82:Q91">Rating</f>
        <v>4.8</v>
      </c>
      <c r="R82">
        <f>INT(Q82)</f>
        <v>4</v>
      </c>
      <c r="S82" t="str">
        <f ca="1">_xlfn.FORMULATEXT(R82)</f>
        <v>=INT(Q82)</v>
      </c>
      <c r="W82">
        <v>5</v>
      </c>
      <c r="X82" t="s">
        <v>65</v>
      </c>
      <c r="AC82" cm="1">
        <f t="array" ref="AC82:AC91">Bonus</f>
        <v>3456.49</v>
      </c>
      <c r="AD82">
        <f>AC82/100</f>
        <v>34.564899999999994</v>
      </c>
      <c r="AE82">
        <f>INT(AD82)</f>
        <v>34</v>
      </c>
      <c r="AF82" t="str">
        <f ca="1">_xlfn.FORMULATEXT(AD82)</f>
        <v>=AC82/100</v>
      </c>
    </row>
    <row r="83" spans="1:32" x14ac:dyDescent="0.3">
      <c r="H83">
        <v>28999.35</v>
      </c>
      <c r="I83">
        <f t="shared" ref="I83:I91" si="17">INT(H83)</f>
        <v>28999</v>
      </c>
      <c r="Q83">
        <v>3.9</v>
      </c>
      <c r="R83">
        <f t="shared" ref="R83:R91" si="18">INT(Q83)</f>
        <v>3</v>
      </c>
      <c r="AC83">
        <v>1899.6</v>
      </c>
      <c r="AD83">
        <f t="shared" ref="AD83:AD91" si="19">AC83/100</f>
        <v>18.995999999999999</v>
      </c>
      <c r="AE83">
        <f t="shared" ref="AE83:AE91" si="20">INT(AD83)</f>
        <v>18</v>
      </c>
      <c r="AF83" t="str">
        <f ca="1">_xlfn.FORMULATEXT(AE82)</f>
        <v>=INT(AD82)</v>
      </c>
    </row>
    <row r="84" spans="1:32" x14ac:dyDescent="0.3">
      <c r="H84">
        <v>41789.919999999998</v>
      </c>
      <c r="I84">
        <f t="shared" si="17"/>
        <v>41789</v>
      </c>
      <c r="Q84">
        <v>4.2</v>
      </c>
      <c r="R84">
        <f t="shared" si="18"/>
        <v>4</v>
      </c>
      <c r="AC84">
        <v>2599.1999999999998</v>
      </c>
      <c r="AD84">
        <f t="shared" si="19"/>
        <v>25.991999999999997</v>
      </c>
      <c r="AE84">
        <f t="shared" si="20"/>
        <v>25</v>
      </c>
    </row>
    <row r="85" spans="1:32" x14ac:dyDescent="0.3">
      <c r="H85">
        <v>19876.48</v>
      </c>
      <c r="I85">
        <f t="shared" si="17"/>
        <v>19876</v>
      </c>
      <c r="Q85">
        <v>3.4</v>
      </c>
      <c r="R85">
        <f t="shared" si="18"/>
        <v>3</v>
      </c>
      <c r="AC85">
        <v>950.75</v>
      </c>
      <c r="AD85">
        <f t="shared" si="19"/>
        <v>9.5075000000000003</v>
      </c>
      <c r="AE85">
        <f t="shared" si="20"/>
        <v>9</v>
      </c>
    </row>
    <row r="86" spans="1:32" x14ac:dyDescent="0.3">
      <c r="H86">
        <v>35654.81</v>
      </c>
      <c r="I86">
        <f t="shared" si="17"/>
        <v>35654</v>
      </c>
      <c r="Q86">
        <v>4.7</v>
      </c>
      <c r="R86">
        <f t="shared" si="18"/>
        <v>4</v>
      </c>
      <c r="AC86">
        <v>2750.33</v>
      </c>
      <c r="AD86">
        <f t="shared" si="19"/>
        <v>27.503299999999999</v>
      </c>
      <c r="AE86">
        <f t="shared" si="20"/>
        <v>27</v>
      </c>
    </row>
    <row r="87" spans="1:32" x14ac:dyDescent="0.3">
      <c r="H87">
        <v>27489.67</v>
      </c>
      <c r="I87">
        <f t="shared" si="17"/>
        <v>27489</v>
      </c>
      <c r="Q87">
        <v>3.8</v>
      </c>
      <c r="R87">
        <f t="shared" si="18"/>
        <v>3</v>
      </c>
      <c r="AC87">
        <v>1499.99</v>
      </c>
      <c r="AD87">
        <f t="shared" si="19"/>
        <v>14.9999</v>
      </c>
      <c r="AE87">
        <f t="shared" si="20"/>
        <v>14</v>
      </c>
    </row>
    <row r="88" spans="1:32" x14ac:dyDescent="0.3">
      <c r="H88">
        <v>38250.54</v>
      </c>
      <c r="I88">
        <f t="shared" si="17"/>
        <v>38250</v>
      </c>
      <c r="Q88">
        <v>4.5</v>
      </c>
      <c r="R88">
        <f t="shared" si="18"/>
        <v>4</v>
      </c>
      <c r="AC88">
        <v>3200.1</v>
      </c>
      <c r="AD88">
        <f t="shared" si="19"/>
        <v>32.000999999999998</v>
      </c>
      <c r="AE88">
        <f t="shared" si="20"/>
        <v>32</v>
      </c>
    </row>
    <row r="89" spans="1:32" x14ac:dyDescent="0.3">
      <c r="H89">
        <v>24199.18</v>
      </c>
      <c r="I89">
        <f t="shared" si="17"/>
        <v>24199</v>
      </c>
      <c r="Q89">
        <v>3.6</v>
      </c>
      <c r="R89">
        <f t="shared" si="18"/>
        <v>3</v>
      </c>
      <c r="AC89">
        <v>1100.55</v>
      </c>
      <c r="AD89">
        <f t="shared" si="19"/>
        <v>11.0055</v>
      </c>
      <c r="AE89">
        <f t="shared" si="20"/>
        <v>11</v>
      </c>
    </row>
    <row r="90" spans="1:32" x14ac:dyDescent="0.3">
      <c r="H90">
        <v>46875.95</v>
      </c>
      <c r="I90">
        <f t="shared" si="17"/>
        <v>46875</v>
      </c>
      <c r="Q90">
        <v>4.9000000000000004</v>
      </c>
      <c r="R90">
        <f t="shared" si="18"/>
        <v>4</v>
      </c>
      <c r="AC90">
        <v>4125.8</v>
      </c>
      <c r="AD90">
        <f t="shared" si="19"/>
        <v>41.258000000000003</v>
      </c>
      <c r="AE90">
        <f t="shared" si="20"/>
        <v>41</v>
      </c>
    </row>
    <row r="91" spans="1:32" x14ac:dyDescent="0.3">
      <c r="H91">
        <v>21549.42</v>
      </c>
      <c r="I91">
        <f t="shared" si="17"/>
        <v>21549</v>
      </c>
      <c r="Q91">
        <v>3.5</v>
      </c>
      <c r="R91">
        <f t="shared" si="18"/>
        <v>3</v>
      </c>
      <c r="AC91">
        <v>999.49</v>
      </c>
      <c r="AD91">
        <f t="shared" si="19"/>
        <v>9.9948999999999995</v>
      </c>
      <c r="AE91">
        <f t="shared" si="20"/>
        <v>9</v>
      </c>
    </row>
    <row r="93" spans="1:32" x14ac:dyDescent="0.3">
      <c r="F93">
        <v>2</v>
      </c>
      <c r="G93" t="s">
        <v>62</v>
      </c>
      <c r="H93" cm="1">
        <f t="array" ref="H93:H102">Bonus</f>
        <v>3456.49</v>
      </c>
      <c r="I93">
        <f>INT(H93)</f>
        <v>3456</v>
      </c>
      <c r="J93" t="str">
        <f ca="1">_xlfn.FORMULATEXT(I93)</f>
        <v>=INT(H93)</v>
      </c>
      <c r="M93">
        <v>4</v>
      </c>
      <c r="N93" t="s">
        <v>64</v>
      </c>
      <c r="Q93" cm="1">
        <f t="array" ref="Q93:Q102">Monthly_Salary</f>
        <v>32456.78</v>
      </c>
      <c r="R93">
        <f>Q93/1000</f>
        <v>32.456780000000002</v>
      </c>
      <c r="S93">
        <f>INT(R93)</f>
        <v>32</v>
      </c>
      <c r="T93" t="str">
        <f ca="1">_xlfn.FORMULATEXT(R93)</f>
        <v>=Q93/1000</v>
      </c>
    </row>
    <row r="94" spans="1:32" x14ac:dyDescent="0.3">
      <c r="H94">
        <v>1899.6</v>
      </c>
      <c r="I94">
        <f t="shared" ref="I94:I102" si="21">INT(H94)</f>
        <v>1899</v>
      </c>
      <c r="Q94">
        <v>28999.35</v>
      </c>
      <c r="R94">
        <f t="shared" ref="R94:R102" si="22">Q94/1000</f>
        <v>28.99935</v>
      </c>
      <c r="S94">
        <f t="shared" ref="S94:S102" si="23">INT(R94)</f>
        <v>28</v>
      </c>
      <c r="T94" t="str">
        <f ca="1">_xlfn.FORMULATEXT(S93)</f>
        <v>=INT(R93)</v>
      </c>
    </row>
    <row r="95" spans="1:32" x14ac:dyDescent="0.3">
      <c r="H95">
        <v>2599.1999999999998</v>
      </c>
      <c r="I95">
        <f t="shared" si="21"/>
        <v>2599</v>
      </c>
      <c r="Q95">
        <v>41789.919999999998</v>
      </c>
      <c r="R95">
        <f t="shared" si="22"/>
        <v>41.789919999999995</v>
      </c>
      <c r="S95">
        <f t="shared" si="23"/>
        <v>41</v>
      </c>
    </row>
    <row r="96" spans="1:32" x14ac:dyDescent="0.3">
      <c r="H96">
        <v>950.75</v>
      </c>
      <c r="I96">
        <f t="shared" si="21"/>
        <v>950</v>
      </c>
      <c r="Q96">
        <v>19876.48</v>
      </c>
      <c r="R96">
        <f t="shared" si="22"/>
        <v>19.876480000000001</v>
      </c>
      <c r="S96">
        <f t="shared" si="23"/>
        <v>19</v>
      </c>
    </row>
    <row r="97" spans="1:31" x14ac:dyDescent="0.3">
      <c r="H97">
        <v>2750.33</v>
      </c>
      <c r="I97">
        <f t="shared" si="21"/>
        <v>2750</v>
      </c>
      <c r="Q97">
        <v>35654.81</v>
      </c>
      <c r="R97">
        <f t="shared" si="22"/>
        <v>35.654809999999998</v>
      </c>
      <c r="S97">
        <f t="shared" si="23"/>
        <v>35</v>
      </c>
    </row>
    <row r="98" spans="1:31" x14ac:dyDescent="0.3">
      <c r="H98">
        <v>1499.99</v>
      </c>
      <c r="I98">
        <f t="shared" si="21"/>
        <v>1499</v>
      </c>
      <c r="Q98">
        <v>27489.67</v>
      </c>
      <c r="R98">
        <f t="shared" si="22"/>
        <v>27.489669999999997</v>
      </c>
      <c r="S98">
        <f t="shared" si="23"/>
        <v>27</v>
      </c>
    </row>
    <row r="99" spans="1:31" x14ac:dyDescent="0.3">
      <c r="H99">
        <v>3200.1</v>
      </c>
      <c r="I99">
        <f t="shared" si="21"/>
        <v>3200</v>
      </c>
      <c r="Q99">
        <v>38250.54</v>
      </c>
      <c r="R99">
        <f t="shared" si="22"/>
        <v>38.250540000000001</v>
      </c>
      <c r="S99">
        <f t="shared" si="23"/>
        <v>38</v>
      </c>
    </row>
    <row r="100" spans="1:31" x14ac:dyDescent="0.3">
      <c r="H100">
        <v>1100.55</v>
      </c>
      <c r="I100">
        <f t="shared" si="21"/>
        <v>1100</v>
      </c>
      <c r="Q100">
        <v>24199.18</v>
      </c>
      <c r="R100">
        <f t="shared" si="22"/>
        <v>24.199180000000002</v>
      </c>
      <c r="S100">
        <f t="shared" si="23"/>
        <v>24</v>
      </c>
    </row>
    <row r="101" spans="1:31" x14ac:dyDescent="0.3">
      <c r="H101">
        <v>4125.8</v>
      </c>
      <c r="I101">
        <f t="shared" si="21"/>
        <v>4125</v>
      </c>
      <c r="Q101">
        <v>46875.95</v>
      </c>
      <c r="R101">
        <f t="shared" si="22"/>
        <v>46.875949999999996</v>
      </c>
      <c r="S101">
        <f t="shared" si="23"/>
        <v>46</v>
      </c>
    </row>
    <row r="102" spans="1:31" x14ac:dyDescent="0.3">
      <c r="H102">
        <v>999.49</v>
      </c>
      <c r="I102">
        <f t="shared" si="21"/>
        <v>999</v>
      </c>
      <c r="Q102">
        <v>21549.42</v>
      </c>
      <c r="R102">
        <f t="shared" si="22"/>
        <v>21.549419999999998</v>
      </c>
      <c r="S102">
        <f t="shared" si="23"/>
        <v>21</v>
      </c>
    </row>
    <row r="104" spans="1:31" x14ac:dyDescent="0.3">
      <c r="A104" t="s">
        <v>46</v>
      </c>
      <c r="B104" t="s">
        <v>38</v>
      </c>
      <c r="C104" t="s">
        <v>66</v>
      </c>
      <c r="D104" t="s">
        <v>40</v>
      </c>
      <c r="F104">
        <v>1</v>
      </c>
      <c r="G104" t="s">
        <v>67</v>
      </c>
      <c r="H104" t="str">
        <f>TRIM(B1)</f>
        <v>Employee Name</v>
      </c>
      <c r="M104">
        <v>3</v>
      </c>
      <c r="N104" t="s">
        <v>69</v>
      </c>
      <c r="Q104" t="str">
        <f>TRIM(CLEAN(B2))</f>
        <v>Aman Sharma</v>
      </c>
      <c r="R104" t="str">
        <f ca="1">_xlfn.FORMULATEXT(Q104)</f>
        <v>=TRIM(CLEAN(B2))</v>
      </c>
      <c r="S104" t="str">
        <f ca="1">_xlfn.FORMULATEXT(R104)</f>
        <v>=FORMULATEXT(Q104)</v>
      </c>
      <c r="W104">
        <v>5</v>
      </c>
      <c r="X104" t="s">
        <v>71</v>
      </c>
      <c r="AC104" t="str">
        <f>TRIM(B2)&amp;" - "&amp;TRIM(G2)</f>
        <v>Aman Sharma - EMP001</v>
      </c>
      <c r="AD104" t="str">
        <f ca="1">_xlfn.FORMULATEXT(AC104)</f>
        <v>=TRIM(B2)&amp;" - "&amp;TRIM(G2)</v>
      </c>
    </row>
    <row r="105" spans="1:31" x14ac:dyDescent="0.3">
      <c r="H105" t="str">
        <f>TRIM(B2)</f>
        <v>Aman Sharma</v>
      </c>
      <c r="I105" t="str">
        <f ca="1">_xlfn.FORMULATEXT(H105)</f>
        <v>=TRIM(B2)</v>
      </c>
    </row>
    <row r="107" spans="1:31" x14ac:dyDescent="0.3">
      <c r="F107">
        <v>2</v>
      </c>
      <c r="G107" t="s">
        <v>68</v>
      </c>
      <c r="H107" t="str">
        <f>TRIM(G2)</f>
        <v>EMP001</v>
      </c>
      <c r="I107" t="str">
        <f ca="1">_xlfn.FORMULATEXT(H107)</f>
        <v>=TRIM(G2)</v>
      </c>
      <c r="M107">
        <v>4</v>
      </c>
      <c r="N107" t="s">
        <v>70</v>
      </c>
      <c r="Q107" t="str">
        <f>TRIM(CLEAN(G2))</f>
        <v>EMP001</v>
      </c>
      <c r="R107" t="str">
        <f ca="1">_xlfn.FORMULATEXT(Q107)</f>
        <v>=TRIM(CLEAN(G2))</v>
      </c>
    </row>
    <row r="108" spans="1:31" x14ac:dyDescent="0.3">
      <c r="Q108" s="5"/>
    </row>
    <row r="109" spans="1:31" x14ac:dyDescent="0.3">
      <c r="Q109" s="5" t="e">
        <f>CLEAN(TRIM(#REF!))</f>
        <v>#REF!</v>
      </c>
    </row>
    <row r="110" spans="1:31" x14ac:dyDescent="0.3">
      <c r="A110" t="s">
        <v>37</v>
      </c>
      <c r="B110" t="s">
        <v>38</v>
      </c>
      <c r="C110" t="s">
        <v>72</v>
      </c>
      <c r="D110" t="s">
        <v>40</v>
      </c>
      <c r="F110">
        <v>1</v>
      </c>
      <c r="G110" t="s">
        <v>73</v>
      </c>
      <c r="H110" s="5" t="str">
        <f>CLEAN(B1)</f>
        <v>Employee Name</v>
      </c>
      <c r="I110" t="str">
        <f ca="1">_xlfn.FORMULATEXT(H110)</f>
        <v>=CLEAN(B1)</v>
      </c>
      <c r="M110">
        <v>3</v>
      </c>
      <c r="N110" s="7" t="s">
        <v>75</v>
      </c>
      <c r="Q110" s="5" t="str">
        <f>CLEAN(TRIM(B1))</f>
        <v>Employee Name</v>
      </c>
      <c r="W110">
        <v>5</v>
      </c>
      <c r="X110" t="s">
        <v>77</v>
      </c>
      <c r="AD110" t="str">
        <f>CLEAN(TRIM(B2))&amp;" - "&amp;CLEAN(TRIM(G2))</f>
        <v>Aman Sharma - EMP001</v>
      </c>
      <c r="AE110" t="str">
        <f ca="1">_xlfn.FORMULATEXT(AD110)</f>
        <v>=CLEAN(TRIM(B2))&amp;" - "&amp;CLEAN(TRIM(G2))</v>
      </c>
    </row>
    <row r="111" spans="1:31" x14ac:dyDescent="0.3">
      <c r="H111" s="5" t="str">
        <f>CLEAN(B2)</f>
        <v>Aman Sharma</v>
      </c>
      <c r="I111" t="str">
        <f ca="1">_xlfn.FORMULATEXT(H111)</f>
        <v>=CLEAN(B2)</v>
      </c>
      <c r="Q111" s="5" t="str">
        <f>CLEAN(TRIM(B2))</f>
        <v>Aman Sharma</v>
      </c>
      <c r="R111" t="str">
        <f ca="1">_xlfn.FORMULATEXT(Q111)</f>
        <v>=CLEAN(TRIM(B2))</v>
      </c>
      <c r="AD111" s="5"/>
    </row>
    <row r="112" spans="1:31" x14ac:dyDescent="0.3">
      <c r="F112">
        <v>2</v>
      </c>
      <c r="G112" t="s">
        <v>74</v>
      </c>
      <c r="H112" s="6"/>
      <c r="N112" s="7"/>
    </row>
    <row r="113" spans="8:18" x14ac:dyDescent="0.3">
      <c r="H113" s="5" t="str">
        <f>CLEAN(G2)</f>
        <v>EMP001</v>
      </c>
      <c r="I113" t="str">
        <f ca="1">_xlfn.FORMULATEXT(H113)</f>
        <v>=CLEAN(G2)</v>
      </c>
      <c r="M113">
        <v>4</v>
      </c>
      <c r="N113" s="7" t="s">
        <v>76</v>
      </c>
      <c r="Q113" t="str">
        <f>CLEAN(TRIM(G2))</f>
        <v>EMP001</v>
      </c>
      <c r="R113" t="str">
        <f ca="1">_xlfn.FORMULATEXT(Q113)</f>
        <v>=CLEAN(TRIM(G2))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</vt:i4>
      </vt:variant>
    </vt:vector>
  </HeadingPairs>
  <TitlesOfParts>
    <vt:vector size="8" baseType="lpstr">
      <vt:lpstr>function based question</vt:lpstr>
      <vt:lpstr>Bonus</vt:lpstr>
      <vt:lpstr>city</vt:lpstr>
      <vt:lpstr>code</vt:lpstr>
      <vt:lpstr>ID</vt:lpstr>
      <vt:lpstr>Monthly_Salary</vt:lpstr>
      <vt:lpstr>Name</vt:lpstr>
      <vt:lpstr>Rating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 Yadav</dc:creator>
  <cp:lastModifiedBy>Paras Yadav</cp:lastModifiedBy>
  <dcterms:created xsi:type="dcterms:W3CDTF">2026-07-28T13:10:38Z</dcterms:created>
  <dcterms:modified xsi:type="dcterms:W3CDTF">2026-07-28T14:01:53Z</dcterms:modified>
</cp:coreProperties>
</file>