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al day 1\"/>
    </mc:Choice>
  </mc:AlternateContent>
  <xr:revisionPtr revIDLastSave="0" documentId="13_ncr:1_{60C47071-55CA-4062-BAD7-87D5916AECBB}" xr6:coauthVersionLast="47" xr6:coauthVersionMax="47" xr10:uidLastSave="{00000000-0000-0000-0000-000000000000}"/>
  <bookViews>
    <workbookView xWindow="10104" yWindow="396" windowWidth="11964" windowHeight="11832" firstSheet="2" activeTab="4" xr2:uid="{37E639F8-540D-4586-BCCB-B129F7EC0EF4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7" i="5"/>
  <c r="F6" i="5"/>
  <c r="F5" i="5"/>
  <c r="F4" i="5"/>
  <c r="E8" i="5"/>
  <c r="E7" i="5"/>
  <c r="E6" i="5"/>
  <c r="E5" i="5"/>
  <c r="E4" i="5"/>
  <c r="D8" i="5"/>
  <c r="D7" i="5"/>
  <c r="D6" i="5"/>
  <c r="D5" i="5"/>
  <c r="D4" i="5"/>
  <c r="F7" i="4"/>
  <c r="F6" i="4"/>
  <c r="F5" i="4"/>
  <c r="F4" i="4"/>
  <c r="F3" i="4"/>
  <c r="F2" i="4"/>
  <c r="E7" i="4"/>
  <c r="E6" i="4"/>
  <c r="E5" i="4"/>
  <c r="E4" i="4"/>
  <c r="E3" i="4"/>
  <c r="E2" i="4"/>
  <c r="D7" i="4"/>
  <c r="D6" i="4"/>
  <c r="D5" i="4"/>
  <c r="D4" i="4"/>
  <c r="D3" i="4"/>
  <c r="D2" i="4"/>
  <c r="F9" i="3"/>
  <c r="F7" i="3"/>
  <c r="F6" i="3"/>
  <c r="F5" i="3"/>
  <c r="F4" i="3"/>
  <c r="E9" i="3"/>
  <c r="E7" i="3"/>
  <c r="E6" i="3"/>
  <c r="E5" i="3"/>
  <c r="E4" i="3"/>
  <c r="E8" i="2"/>
  <c r="E7" i="2"/>
  <c r="E6" i="2"/>
  <c r="E5" i="2"/>
  <c r="E4" i="2"/>
  <c r="E3" i="2"/>
  <c r="E2" i="2"/>
  <c r="D8" i="2"/>
  <c r="D7" i="2"/>
  <c r="D6" i="2"/>
  <c r="D5" i="2"/>
  <c r="D4" i="2"/>
  <c r="D3" i="2"/>
  <c r="D2" i="2"/>
  <c r="D8" i="1"/>
  <c r="D7" i="1"/>
  <c r="D6" i="1"/>
  <c r="D5" i="1"/>
  <c r="D4" i="1"/>
  <c r="D3" i="1"/>
  <c r="D2" i="1"/>
  <c r="F11" i="5"/>
  <c r="E11" i="5"/>
  <c r="D11" i="5"/>
  <c r="F10" i="4"/>
  <c r="E10" i="4"/>
  <c r="D10" i="4"/>
  <c r="F12" i="3"/>
  <c r="E12" i="3"/>
  <c r="F3" i="2"/>
  <c r="F2" i="2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<sst xmlns="http://schemas.openxmlformats.org/spreadsheetml/2006/main" count="57" uniqueCount="52">
  <si>
    <t>Item</t>
  </si>
  <si>
    <t>Cost</t>
  </si>
  <si>
    <t>Credit Period</t>
  </si>
  <si>
    <t>Fridge</t>
  </si>
  <si>
    <t>DVD Player</t>
  </si>
  <si>
    <t>Washing Machine</t>
  </si>
  <si>
    <t>Dish Washer</t>
  </si>
  <si>
    <t>TV</t>
  </si>
  <si>
    <t>Car</t>
  </si>
  <si>
    <t>TOTAL</t>
  </si>
  <si>
    <t>payment</t>
  </si>
  <si>
    <t>Name</t>
  </si>
  <si>
    <t>No. calls</t>
  </si>
  <si>
    <t>Hours worked</t>
  </si>
  <si>
    <t>Calls per Hour</t>
  </si>
  <si>
    <t>Bonus</t>
  </si>
  <si>
    <t>Angus</t>
  </si>
  <si>
    <t>Penelope</t>
  </si>
  <si>
    <t>Jethro</t>
  </si>
  <si>
    <t>Mirabelle</t>
  </si>
  <si>
    <t>Ophelia</t>
  </si>
  <si>
    <t>Horatio</t>
  </si>
  <si>
    <t>Weight Loss Statistics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</si>
  <si>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</si>
  <si>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</si>
  <si>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</si>
  <si>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</si>
  <si>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</si>
  <si>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</si>
  <si>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</si>
  <si>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</si>
  <si>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</si>
  <si>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Toys Ordered</t>
  </si>
  <si>
    <t>Price Each</t>
  </si>
  <si>
    <t>Q. Ordered</t>
  </si>
  <si>
    <t>BBQ Barbie Doll</t>
  </si>
  <si>
    <t>Price Eric Dol</t>
  </si>
  <si>
    <t>Princess Jasmine Doll</t>
  </si>
  <si>
    <t>Cinderella coach</t>
  </si>
  <si>
    <t>Spiderman gloves</t>
  </si>
  <si>
    <t>discount</t>
  </si>
  <si>
    <t>final amount</t>
  </si>
  <si>
    <t>Weekly Chocolate Consumption</t>
  </si>
  <si>
    <t>Quantity</t>
  </si>
  <si>
    <t>Total</t>
  </si>
  <si>
    <t>Vat Total</t>
  </si>
  <si>
    <t>Final</t>
  </si>
  <si>
    <t>Flake</t>
  </si>
  <si>
    <t>Crunchie</t>
  </si>
  <si>
    <t>Mars Bar</t>
  </si>
  <si>
    <t>Aero</t>
  </si>
  <si>
    <t>Total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</si>
</sst>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E81C-79D6-4FB7-BA2B-36B95384AE4C}">
  <dimension ref="A1:E8"/>
  <sheetViews>
    <sheetView workbookViewId="0">
      <selection activeCell="D10" sqref="D10"/>
    </sheetView>
  </sheetViews>
  <sheetFormatPr defaultRowHeight="14.4" x14ac:dyDescent="0.3"/>
  <cols>
    <col min="1" max="1" width="15.44140625" customWidth="1"/>
    <col min="3" max="3" width="1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10</v>
      </c>
    </row>
    <row r="2" spans="1:5" x14ac:dyDescent="0.3">
      <c r="A2" t="s">
        <v>3</v>
      </c>
      <c r="B2">
        <v>200</v>
      </c>
      <c r="C2">
        <v>8</v>
      </c>
      <c r="D2">
        <f>B2/C2</f>
        <v>25</v>
      </c>
      <c r="E2" t="str">
        <f ca="1">_xlfn.FORMULATEXT(D2)</f>
        <v>=B2/C2</v>
      </c>
    </row>
    <row r="3" spans="1:5" x14ac:dyDescent="0.3">
      <c r="A3" t="s">
        <v>4</v>
      </c>
      <c r="B3">
        <v>150</v>
      </c>
      <c r="C3">
        <v>12</v>
      </c>
      <c r="D3">
        <f t="shared" ref="D3:D7" si="0">B3/C3</f>
        <v>12.5</v>
      </c>
      <c r="E3" t="str">
        <f t="shared" ref="E3:E8" ca="1" si="1">_xlfn.FORMULATEXT(D3)</f>
        <v>=B3/C3</v>
      </c>
    </row>
    <row r="4" spans="1:5" x14ac:dyDescent="0.3">
      <c r="A4" t="s">
        <v>5</v>
      </c>
      <c r="B4">
        <v>300</v>
      </c>
      <c r="C4">
        <v>12</v>
      </c>
      <c r="D4">
        <f t="shared" si="0"/>
        <v>25</v>
      </c>
      <c r="E4" t="str">
        <f t="shared" ca="1" si="1"/>
        <v>=B4/C4</v>
      </c>
    </row>
    <row r="5" spans="1:5" x14ac:dyDescent="0.3">
      <c r="A5" t="s">
        <v>6</v>
      </c>
      <c r="B5">
        <v>250</v>
      </c>
      <c r="C5">
        <v>12</v>
      </c>
      <c r="D5">
        <f t="shared" si="0"/>
        <v>20.833333333333332</v>
      </c>
      <c r="E5" t="str">
        <f t="shared" ca="1" si="1"/>
        <v>=B5/C5</v>
      </c>
    </row>
    <row r="6" spans="1:5" x14ac:dyDescent="0.3">
      <c r="A6" t="s">
        <v>7</v>
      </c>
      <c r="B6">
        <v>500</v>
      </c>
      <c r="C6">
        <v>12</v>
      </c>
      <c r="D6">
        <f t="shared" si="0"/>
        <v>41.666666666666664</v>
      </c>
      <c r="E6" t="str">
        <f t="shared" ca="1" si="1"/>
        <v>=B6/C6</v>
      </c>
    </row>
    <row r="7" spans="1:5" x14ac:dyDescent="0.3">
      <c r="A7" t="s">
        <v>8</v>
      </c>
      <c r="B7">
        <v>15000</v>
      </c>
      <c r="C7">
        <v>36</v>
      </c>
      <c r="D7">
        <f t="shared" si="0"/>
        <v>416.66666666666669</v>
      </c>
      <c r="E7" t="str">
        <f t="shared" ca="1" si="1"/>
        <v>=B7/C7</v>
      </c>
    </row>
    <row r="8" spans="1:5" x14ac:dyDescent="0.3">
      <c r="A8" t="s">
        <v>9</v>
      </c>
      <c r="B8">
        <v>16400</v>
      </c>
      <c r="D8">
        <f>SUM(D2:D7)</f>
        <v>541.66666666666674</v>
      </c>
      <c r="E8" t="str">
        <f t="shared" ca="1" si="1"/>
        <v>=SUM(D2:D7)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9F47-41DE-4EE8-80F5-95A132BDCD6A}">
  <dimension ref="A1:F8"/>
  <sheetViews>
    <sheetView workbookViewId="0">
      <selection activeCell="F4" sqref="F4"/>
    </sheetView>
  </sheetViews>
  <sheetFormatPr defaultRowHeight="14.4" x14ac:dyDescent="0.3"/>
  <cols>
    <col min="4" max="4" width="13.664062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6" x14ac:dyDescent="0.3">
      <c r="A2" t="s">
        <v>16</v>
      </c>
      <c r="B2">
        <v>42</v>
      </c>
      <c r="C2">
        <v>5</v>
      </c>
      <c r="D2">
        <f>B2/C2</f>
        <v>8.4</v>
      </c>
      <c r="E2">
        <f>D2*1.75</f>
        <v>14.700000000000001</v>
      </c>
      <c r="F2" t="str">
        <f ca="1">_xlfn.FORMULATEXT(D2)</f>
        <v>=B2/C2</v>
      </c>
    </row>
    <row r="3" spans="1:6" x14ac:dyDescent="0.3">
      <c r="A3" t="s">
        <v>17</v>
      </c>
      <c r="B3">
        <v>6</v>
      </c>
      <c r="C3">
        <v>4</v>
      </c>
      <c r="D3">
        <f t="shared" ref="D3:D8" si="0">B3/C3</f>
        <v>1.5</v>
      </c>
      <c r="E3">
        <f t="shared" ref="E3:E8" si="1">D3*1.75</f>
        <v>2.625</v>
      </c>
      <c r="F3" t="str">
        <f ca="1">_xlfn.FORMULATEXT(E2)</f>
        <v>=D2*1.75</v>
      </c>
    </row>
    <row r="4" spans="1:6" x14ac:dyDescent="0.3">
      <c r="A4" t="s">
        <v>18</v>
      </c>
      <c r="B4">
        <v>39</v>
      </c>
      <c r="C4">
        <v>6</v>
      </c>
      <c r="D4">
        <f t="shared" si="0"/>
        <v>6.5</v>
      </c>
      <c r="E4">
        <f t="shared" si="1"/>
        <v>11.375</v>
      </c>
    </row>
    <row r="5" spans="1:6" x14ac:dyDescent="0.3">
      <c r="A5" t="s">
        <v>19</v>
      </c>
      <c r="B5">
        <v>15</v>
      </c>
      <c r="C5">
        <v>6</v>
      </c>
      <c r="D5">
        <f t="shared" si="0"/>
        <v>2.5</v>
      </c>
      <c r="E5">
        <f t="shared" si="1"/>
        <v>4.375</v>
      </c>
    </row>
    <row r="6" spans="1:6" x14ac:dyDescent="0.3">
      <c r="A6" t="s">
        <v>20</v>
      </c>
      <c r="B6">
        <v>2</v>
      </c>
      <c r="C6">
        <v>7</v>
      </c>
      <c r="D6">
        <f t="shared" si="0"/>
        <v>0.2857142857142857</v>
      </c>
      <c r="E6">
        <f t="shared" si="1"/>
        <v>0.5</v>
      </c>
    </row>
    <row r="7" spans="1:6" x14ac:dyDescent="0.3">
      <c r="A7" t="s">
        <v>21</v>
      </c>
      <c r="B7">
        <v>91</v>
      </c>
      <c r="C7">
        <v>6</v>
      </c>
      <c r="D7">
        <f t="shared" si="0"/>
        <v>15.166666666666666</v>
      </c>
      <c r="E7">
        <f t="shared" si="1"/>
        <v>26.541666666666664</v>
      </c>
    </row>
    <row r="8" spans="1:6" x14ac:dyDescent="0.3">
      <c r="A8" t="s">
        <v>9</v>
      </c>
      <c r="B8">
        <v>195</v>
      </c>
      <c r="C8">
        <v>34</v>
      </c>
      <c r="D8">
        <f t="shared" si="0"/>
        <v>5.7352941176470589</v>
      </c>
      <c r="E8">
        <f t="shared" si="1"/>
        <v>10.036764705882353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C9EB-176C-4273-A51D-ED173DDC660B}">
  <dimension ref="A1:F12"/>
  <sheetViews>
    <sheetView workbookViewId="0">
      <selection activeCell="F13" sqref="F13"/>
    </sheetView>
  </sheetViews>
  <sheetFormatPr defaultRowHeight="14.4" x14ac:dyDescent="0.3"/>
  <cols>
    <col min="5" max="5" width="18.33203125" customWidth="1"/>
    <col min="6" max="6" width="22" customWidth="1"/>
  </cols>
  <sheetData>
    <row r="1" spans="1:6" x14ac:dyDescent="0.3">
      <c r="B1" t="s">
        <v>22</v>
      </c>
    </row>
    <row r="3" spans="1:6" x14ac:dyDescent="0.3">
      <c r="A3" t="s">
        <v>11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3">
      <c r="A4" t="s">
        <v>28</v>
      </c>
      <c r="B4">
        <v>600</v>
      </c>
      <c r="C4">
        <v>350</v>
      </c>
      <c r="D4">
        <v>20</v>
      </c>
      <c r="E4">
        <f>(B4-C4)/D4</f>
        <v>12.5</v>
      </c>
      <c r="F4">
        <f>E4*2.2</f>
        <v>27.500000000000004</v>
      </c>
    </row>
    <row r="5" spans="1:6" x14ac:dyDescent="0.3">
      <c r="A5" t="s">
        <v>29</v>
      </c>
      <c r="B5">
        <v>500</v>
      </c>
      <c r="C5">
        <v>350</v>
      </c>
      <c r="D5">
        <v>20</v>
      </c>
      <c r="E5">
        <f t="shared" ref="E5:E9" si="0">(B5-C5)/D5</f>
        <v>7.5</v>
      </c>
      <c r="F5">
        <f t="shared" ref="F5:F9" si="1">E5*2.2</f>
        <v>16.5</v>
      </c>
    </row>
    <row r="6" spans="1:6" x14ac:dyDescent="0.3">
      <c r="A6" t="s">
        <v>30</v>
      </c>
      <c r="B6">
        <v>250</v>
      </c>
      <c r="C6">
        <v>220</v>
      </c>
      <c r="D6">
        <v>5</v>
      </c>
      <c r="E6">
        <f t="shared" si="0"/>
        <v>6</v>
      </c>
      <c r="F6">
        <f t="shared" si="1"/>
        <v>13.200000000000001</v>
      </c>
    </row>
    <row r="7" spans="1:6" x14ac:dyDescent="0.3">
      <c r="A7" t="s">
        <v>31</v>
      </c>
      <c r="B7">
        <v>350</v>
      </c>
      <c r="C7">
        <v>250</v>
      </c>
      <c r="D7">
        <v>5</v>
      </c>
      <c r="E7">
        <f t="shared" si="0"/>
        <v>20</v>
      </c>
      <c r="F7">
        <f t="shared" si="1"/>
        <v>44</v>
      </c>
    </row>
    <row r="9" spans="1:6" x14ac:dyDescent="0.3">
      <c r="A9" t="s">
        <v>9</v>
      </c>
      <c r="B9">
        <v>1700</v>
      </c>
      <c r="C9">
        <v>1170</v>
      </c>
      <c r="D9">
        <v>50</v>
      </c>
      <c r="E9">
        <f t="shared" si="0"/>
        <v>10.6</v>
      </c>
      <c r="F9">
        <f t="shared" si="1"/>
        <v>23.32</v>
      </c>
    </row>
    <row r="12" spans="1:6" x14ac:dyDescent="0.3">
      <c r="E12" t="str">
        <f ca="1">_xlfn.FORMULATEXT(E4)</f>
        <v>=(B4-C4)/D4</v>
      </c>
      <c r="F12" t="str">
        <f ca="1">_xlfn.FORMULATEXT(F4)</f>
        <v>=E4*2.2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B463-6B8A-4BD9-9A0A-32CC861356E6}">
  <dimension ref="A1:F10"/>
  <sheetViews>
    <sheetView workbookViewId="0">
      <selection activeCell="F11" sqref="F11"/>
    </sheetView>
  </sheetViews>
  <sheetFormatPr defaultRowHeight="14.4" x14ac:dyDescent="0.3"/>
  <cols>
    <col min="1" max="1" width="18.21875" customWidth="1"/>
    <col min="2" max="2" width="10.21875" customWidth="1"/>
    <col min="3" max="3" width="10.77734375" customWidth="1"/>
    <col min="6" max="6" width="11" customWidth="1"/>
  </cols>
  <sheetData>
    <row r="1" spans="1:6" x14ac:dyDescent="0.3">
      <c r="A1" t="s">
        <v>32</v>
      </c>
      <c r="B1" t="s">
        <v>33</v>
      </c>
      <c r="C1" t="s">
        <v>34</v>
      </c>
      <c r="D1" t="s">
        <v>1</v>
      </c>
      <c r="E1" t="s">
        <v>40</v>
      </c>
      <c r="F1" t="s">
        <v>41</v>
      </c>
    </row>
    <row r="2" spans="1:6" x14ac:dyDescent="0.3">
      <c r="A2" t="s">
        <v>35</v>
      </c>
      <c r="B2">
        <v>12.99</v>
      </c>
      <c r="C2">
        <v>2</v>
      </c>
      <c r="D2">
        <f>B2*C2</f>
        <v>25.98</v>
      </c>
      <c r="E2">
        <f>7%*D2</f>
        <v>1.8186000000000002</v>
      </c>
      <c r="F2">
        <f>D2-E2</f>
        <v>24.1614</v>
      </c>
    </row>
    <row r="3" spans="1:6" x14ac:dyDescent="0.3">
      <c r="A3" t="s">
        <v>36</v>
      </c>
      <c r="B3">
        <v>8.99</v>
      </c>
      <c r="C3">
        <v>3</v>
      </c>
      <c r="D3">
        <f t="shared" ref="D3:D7" si="0">B3*C3</f>
        <v>26.97</v>
      </c>
      <c r="E3">
        <f t="shared" ref="E3:E7" si="1">7%*D3</f>
        <v>1.8879000000000001</v>
      </c>
      <c r="F3">
        <f t="shared" ref="F3:F7" si="2">D3-E3</f>
        <v>25.082099999999997</v>
      </c>
    </row>
    <row r="4" spans="1:6" x14ac:dyDescent="0.3">
      <c r="A4" t="s">
        <v>37</v>
      </c>
      <c r="B4">
        <v>9.99</v>
      </c>
      <c r="C4">
        <v>1</v>
      </c>
      <c r="D4">
        <f t="shared" si="0"/>
        <v>9.99</v>
      </c>
      <c r="E4">
        <f t="shared" si="1"/>
        <v>0.69930000000000003</v>
      </c>
      <c r="F4">
        <f t="shared" si="2"/>
        <v>9.2907000000000011</v>
      </c>
    </row>
    <row r="5" spans="1:6" x14ac:dyDescent="0.3">
      <c r="A5" t="s">
        <v>38</v>
      </c>
      <c r="B5">
        <v>19.989999999999998</v>
      </c>
      <c r="C5">
        <v>1</v>
      </c>
      <c r="D5">
        <f t="shared" si="0"/>
        <v>19.989999999999998</v>
      </c>
      <c r="E5">
        <f t="shared" si="1"/>
        <v>1.3993</v>
      </c>
      <c r="F5">
        <f t="shared" si="2"/>
        <v>18.590699999999998</v>
      </c>
    </row>
    <row r="6" spans="1:6" x14ac:dyDescent="0.3">
      <c r="A6" t="s">
        <v>39</v>
      </c>
      <c r="B6">
        <v>14.99</v>
      </c>
      <c r="C6">
        <v>3</v>
      </c>
      <c r="D6">
        <f t="shared" si="0"/>
        <v>44.97</v>
      </c>
      <c r="E6">
        <f t="shared" si="1"/>
        <v>3.1479000000000004</v>
      </c>
      <c r="F6">
        <f t="shared" si="2"/>
        <v>41.822099999999999</v>
      </c>
    </row>
    <row r="7" spans="1:6" x14ac:dyDescent="0.3">
      <c r="B7">
        <v>66.95</v>
      </c>
      <c r="C7">
        <v>10</v>
      </c>
      <c r="D7">
        <f t="shared" si="0"/>
        <v>669.5</v>
      </c>
      <c r="E7">
        <f t="shared" si="1"/>
        <v>46.865000000000002</v>
      </c>
      <c r="F7">
        <f t="shared" si="2"/>
        <v>622.63499999999999</v>
      </c>
    </row>
    <row r="10" spans="1:6" x14ac:dyDescent="0.3">
      <c r="D10" t="str">
        <f ca="1">_xlfn.FORMULATEXT(D2)</f>
        <v>=B2*C2</v>
      </c>
      <c r="E10" t="str">
        <f ca="1">_xlfn.FORMULATEXT(E2)</f>
        <v>=7%*D2</v>
      </c>
      <c r="F10" t="str">
        <f ca="1">_xlfn.FORMULATEXT(F2)</f>
        <v>=D2-E2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EE01-1F56-4549-8DA0-9FC1D5C664BD}">
  <dimension ref="A1:F11"/>
  <sheetViews>
    <sheetView tabSelected="1" workbookViewId="0">
      <selection activeCell="F12" sqref="F12"/>
    </sheetView>
  </sheetViews>
  <sheetFormatPr defaultRowHeight="14.4" x14ac:dyDescent="0.3"/>
  <cols>
    <col min="2" max="2" width="13.88671875" customWidth="1"/>
    <col min="3" max="3" width="14" customWidth="1"/>
    <col min="5" max="5" width="13.5546875" customWidth="1"/>
  </cols>
  <sheetData>
    <row r="1" spans="1:6" x14ac:dyDescent="0.3">
      <c r="A1" t="s">
        <v>42</v>
      </c>
    </row>
    <row r="3" spans="1:6" x14ac:dyDescent="0.3">
      <c r="B3" t="s">
        <v>43</v>
      </c>
      <c r="C3" t="s">
        <v>33</v>
      </c>
      <c r="D3" t="s">
        <v>44</v>
      </c>
      <c r="E3" t="s">
        <v>45</v>
      </c>
      <c r="F3" t="s">
        <v>46</v>
      </c>
    </row>
    <row r="4" spans="1:6" x14ac:dyDescent="0.3">
      <c r="A4" t="s">
        <v>47</v>
      </c>
      <c r="B4">
        <v>1</v>
      </c>
      <c r="C4">
        <v>0.36</v>
      </c>
      <c r="D4">
        <f>B4*C4</f>
        <v>0.36</v>
      </c>
      <c r="E4">
        <f>D4*17.5%</f>
        <v>6.3E-2</v>
      </c>
      <c r="F4">
        <f>D4+E4</f>
        <v>0.42299999999999999</v>
      </c>
    </row>
    <row r="5" spans="1:6" x14ac:dyDescent="0.3">
      <c r="A5" t="s">
        <v>48</v>
      </c>
      <c r="B5">
        <v>3</v>
      </c>
      <c r="C5">
        <v>0.2</v>
      </c>
      <c r="D5">
        <f t="shared" ref="D5:D8" si="0">B5*C5</f>
        <v>0.60000000000000009</v>
      </c>
      <c r="E5">
        <f t="shared" ref="E5:E8" si="1">D5*17.5%</f>
        <v>0.10500000000000001</v>
      </c>
      <c r="F5">
        <f t="shared" ref="F5:F8" si="2">D5+E5</f>
        <v>0.70500000000000007</v>
      </c>
    </row>
    <row r="6" spans="1:6" x14ac:dyDescent="0.3">
      <c r="A6" t="s">
        <v>49</v>
      </c>
      <c r="B6">
        <v>2</v>
      </c>
      <c r="C6">
        <v>0.42</v>
      </c>
      <c r="D6">
        <f t="shared" si="0"/>
        <v>0.84</v>
      </c>
      <c r="E6">
        <f t="shared" si="1"/>
        <v>0.14699999999999999</v>
      </c>
      <c r="F6">
        <f t="shared" si="2"/>
        <v>0.98699999999999999</v>
      </c>
    </row>
    <row r="7" spans="1:6" x14ac:dyDescent="0.3">
      <c r="A7" t="s">
        <v>50</v>
      </c>
      <c r="B7">
        <v>6</v>
      </c>
      <c r="C7">
        <v>0.39</v>
      </c>
      <c r="D7">
        <f t="shared" si="0"/>
        <v>2.34</v>
      </c>
      <c r="E7">
        <f t="shared" si="1"/>
        <v>0.40949999999999998</v>
      </c>
      <c r="F7">
        <f t="shared" si="2"/>
        <v>2.7494999999999998</v>
      </c>
    </row>
    <row r="8" spans="1:6" x14ac:dyDescent="0.3">
      <c r="A8" t="s">
        <v>51</v>
      </c>
      <c r="B8">
        <v>12</v>
      </c>
      <c r="C8">
        <v>1.37</v>
      </c>
      <c r="D8">
        <f t="shared" si="0"/>
        <v>16.440000000000001</v>
      </c>
      <c r="E8">
        <f t="shared" si="1"/>
        <v>2.8770000000000002</v>
      </c>
      <c r="F8">
        <f t="shared" si="2"/>
        <v>19.317</v>
      </c>
    </row>
    <row r="11" spans="1:6" x14ac:dyDescent="0.3">
      <c r="D11" t="str">
        <f ca="1">_xlfn.FORMULATEXT(D4)</f>
        <v>=B4*C4</v>
      </c>
      <c r="E11" t="str">
        <f ca="1">_xlfn.FORMULATEXT(E4)</f>
        <v>=D4*17.5%</v>
      </c>
      <c r="F11" t="str">
        <f ca="1">_xlfn.FORMULATEXT(F4)</f>
        <v>=D4+E4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2026-07-29T05:20:13Z</dcterms:created>
  <dcterms:modified xsi:type="dcterms:W3CDTF">2026-07-29T05:49:42Z</dcterms:modified>
</cp:coreProperties>
</file>